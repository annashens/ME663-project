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nashen/Desktop/code/ME663-project/postprocess/"/>
    </mc:Choice>
  </mc:AlternateContent>
  <xr:revisionPtr revIDLastSave="0" documentId="13_ncr:2001_{93BBAE32-C701-A64E-A1C2-42F58C683E05}" xr6:coauthVersionLast="47" xr6:coauthVersionMax="47" xr10:uidLastSave="{00000000-0000-0000-0000-000000000000}"/>
  <bookViews>
    <workbookView xWindow="1240" yWindow="500" windowWidth="29120" windowHeight="16860" xr2:uid="{4FFFDDBB-3764-044A-A563-7130C269BFF6}"/>
  </bookViews>
  <sheets>
    <sheet name="Sheet1" sheetId="1" r:id="rId1"/>
    <sheet name="Sheet2" sheetId="2" r:id="rId2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2" i="1" l="1"/>
  <c r="G63" i="1"/>
  <c r="G64" i="1"/>
  <c r="J64" i="1" s="1"/>
  <c r="H62" i="1"/>
  <c r="H63" i="1"/>
  <c r="H64" i="1"/>
  <c r="J62" i="1"/>
  <c r="J63" i="1"/>
  <c r="Q62" i="1"/>
  <c r="Q63" i="1"/>
  <c r="Q64" i="1"/>
  <c r="S62" i="1"/>
  <c r="S63" i="1"/>
  <c r="S64" i="1"/>
  <c r="T62" i="1"/>
  <c r="T63" i="1"/>
  <c r="T64" i="1"/>
  <c r="G61" i="1"/>
  <c r="H61" i="1" s="1"/>
  <c r="J61" i="1"/>
  <c r="Q61" i="1"/>
  <c r="S61" i="1"/>
  <c r="T61" i="1"/>
  <c r="G60" i="1"/>
  <c r="H60" i="1" s="1"/>
  <c r="Q60" i="1"/>
  <c r="S60" i="1"/>
  <c r="T60" i="1"/>
  <c r="G59" i="1"/>
  <c r="H59" i="1" s="1"/>
  <c r="I59" i="1" s="1"/>
  <c r="Q59" i="1" s="1"/>
  <c r="S59" i="1"/>
  <c r="T59" i="1"/>
  <c r="S57" i="1"/>
  <c r="S58" i="1"/>
  <c r="T57" i="1"/>
  <c r="T58" i="1"/>
  <c r="G57" i="1"/>
  <c r="H57" i="1" s="1"/>
  <c r="I57" i="1" s="1"/>
  <c r="Q57" i="1" s="1"/>
  <c r="G58" i="1"/>
  <c r="H58" i="1" s="1"/>
  <c r="I58" i="1" s="1"/>
  <c r="Q58" i="1" s="1"/>
  <c r="S55" i="1"/>
  <c r="S56" i="1"/>
  <c r="T55" i="1"/>
  <c r="T56" i="1"/>
  <c r="G55" i="1"/>
  <c r="H55" i="1" s="1"/>
  <c r="I55" i="1" s="1"/>
  <c r="Q55" i="1" s="1"/>
  <c r="G56" i="1"/>
  <c r="H56" i="1" s="1"/>
  <c r="I56" i="1" s="1"/>
  <c r="Q56" i="1" s="1"/>
  <c r="G54" i="1"/>
  <c r="H54" i="1" s="1"/>
  <c r="I54" i="1" s="1"/>
  <c r="Q54" i="1" s="1"/>
  <c r="S54" i="1"/>
  <c r="T54" i="1"/>
  <c r="G53" i="1"/>
  <c r="H53" i="1" s="1"/>
  <c r="I53" i="1" s="1"/>
  <c r="S53" i="1"/>
  <c r="T53" i="1"/>
  <c r="G52" i="1"/>
  <c r="H52" i="1" s="1"/>
  <c r="I52" i="1" s="1"/>
  <c r="S52" i="1"/>
  <c r="T52" i="1"/>
  <c r="G51" i="1"/>
  <c r="S51" i="1"/>
  <c r="T51" i="1"/>
  <c r="G50" i="1"/>
  <c r="H50" i="1" s="1"/>
  <c r="I50" i="1" s="1"/>
  <c r="S50" i="1"/>
  <c r="T50" i="1"/>
  <c r="Q49" i="1"/>
  <c r="S49" i="1"/>
  <c r="T49" i="1"/>
  <c r="G49" i="1"/>
  <c r="J49" i="1" s="1"/>
  <c r="G48" i="1"/>
  <c r="H48" i="1" s="1"/>
  <c r="S48" i="1"/>
  <c r="T48" i="1"/>
  <c r="G47" i="1"/>
  <c r="H47" i="1" s="1"/>
  <c r="I47" i="1" s="1"/>
  <c r="Q47" i="1" s="1"/>
  <c r="S47" i="1"/>
  <c r="T47" i="1"/>
  <c r="G46" i="1"/>
  <c r="H46" i="1" s="1"/>
  <c r="I46" i="1" s="1"/>
  <c r="Q46" i="1" s="1"/>
  <c r="S46" i="1"/>
  <c r="T46" i="1"/>
  <c r="G45" i="1"/>
  <c r="H45" i="1" s="1"/>
  <c r="I45" i="1" s="1"/>
  <c r="Q45" i="1" s="1"/>
  <c r="S45" i="1"/>
  <c r="T45" i="1"/>
  <c r="G44" i="1"/>
  <c r="H44" i="1" s="1"/>
  <c r="I44" i="1" s="1"/>
  <c r="Q44" i="1" s="1"/>
  <c r="S44" i="1"/>
  <c r="T44" i="1"/>
  <c r="G43" i="1"/>
  <c r="H43" i="1" s="1"/>
  <c r="I43" i="1" s="1"/>
  <c r="Q43" i="1" s="1"/>
  <c r="S43" i="1"/>
  <c r="T43" i="1"/>
  <c r="G42" i="1"/>
  <c r="H42" i="1" s="1"/>
  <c r="I42" i="1" s="1"/>
  <c r="Q42" i="1" s="1"/>
  <c r="S42" i="1"/>
  <c r="T42" i="1"/>
  <c r="G41" i="1"/>
  <c r="H41" i="1" s="1"/>
  <c r="I41" i="1" s="1"/>
  <c r="Q41" i="1" s="1"/>
  <c r="S41" i="1"/>
  <c r="T41" i="1"/>
  <c r="G40" i="1"/>
  <c r="H40" i="1" s="1"/>
  <c r="Q40" i="1"/>
  <c r="S40" i="1"/>
  <c r="T40" i="1"/>
  <c r="G39" i="1"/>
  <c r="H39" i="1" s="1"/>
  <c r="Q39" i="1"/>
  <c r="S39" i="1"/>
  <c r="T39" i="1"/>
  <c r="T38" i="1"/>
  <c r="S38" i="1"/>
  <c r="Q38" i="1"/>
  <c r="G38" i="1"/>
  <c r="J38" i="1" s="1"/>
  <c r="T37" i="1"/>
  <c r="S37" i="1"/>
  <c r="Q37" i="1"/>
  <c r="G37" i="1"/>
  <c r="T36" i="1"/>
  <c r="S36" i="1"/>
  <c r="Q36" i="1"/>
  <c r="G36" i="1"/>
  <c r="J36" i="1" s="1"/>
  <c r="T35" i="1"/>
  <c r="S35" i="1"/>
  <c r="Q35" i="1"/>
  <c r="G35" i="1"/>
  <c r="J35" i="1" s="1"/>
  <c r="T34" i="1"/>
  <c r="S34" i="1"/>
  <c r="Q34" i="1"/>
  <c r="G34" i="1"/>
  <c r="J34" i="1" s="1"/>
  <c r="T33" i="1"/>
  <c r="S33" i="1"/>
  <c r="Q33" i="1"/>
  <c r="G33" i="1"/>
  <c r="J33" i="1" s="1"/>
  <c r="T32" i="1"/>
  <c r="S32" i="1"/>
  <c r="Q32" i="1"/>
  <c r="G32" i="1"/>
  <c r="J32" i="1" s="1"/>
  <c r="T31" i="1"/>
  <c r="S31" i="1"/>
  <c r="Q31" i="1"/>
  <c r="G31" i="1"/>
  <c r="T30" i="1"/>
  <c r="S30" i="1"/>
  <c r="Q30" i="1"/>
  <c r="G30" i="1"/>
  <c r="T25" i="1"/>
  <c r="S25" i="1"/>
  <c r="Q25" i="1"/>
  <c r="G25" i="1"/>
  <c r="H25" i="1" s="1"/>
  <c r="Q19" i="1"/>
  <c r="T20" i="1"/>
  <c r="S20" i="1"/>
  <c r="Q20" i="1"/>
  <c r="G20" i="1"/>
  <c r="J20" i="1" s="1"/>
  <c r="Q18" i="1"/>
  <c r="Q21" i="1"/>
  <c r="Q22" i="1"/>
  <c r="Q23" i="1"/>
  <c r="Q24" i="1"/>
  <c r="S18" i="1"/>
  <c r="S19" i="1"/>
  <c r="Q14" i="1"/>
  <c r="G22" i="1"/>
  <c r="H22" i="1" s="1"/>
  <c r="S22" i="1"/>
  <c r="T22" i="1"/>
  <c r="G23" i="1"/>
  <c r="J23" i="1" s="1"/>
  <c r="S23" i="1"/>
  <c r="T23" i="1"/>
  <c r="G24" i="1"/>
  <c r="H24" i="1" s="1"/>
  <c r="S24" i="1"/>
  <c r="T24" i="1"/>
  <c r="G18" i="1"/>
  <c r="H18" i="1" s="1"/>
  <c r="T18" i="1"/>
  <c r="G19" i="1"/>
  <c r="H19" i="1" s="1"/>
  <c r="T19" i="1"/>
  <c r="G17" i="1"/>
  <c r="H17" i="1" s="1"/>
  <c r="Q17" i="1"/>
  <c r="S17" i="1"/>
  <c r="T17" i="1"/>
  <c r="G21" i="1"/>
  <c r="H21" i="1" s="1"/>
  <c r="S21" i="1"/>
  <c r="T21" i="1"/>
  <c r="T26" i="1"/>
  <c r="S26" i="1"/>
  <c r="Q26" i="1"/>
  <c r="G26" i="1"/>
  <c r="J26" i="1" s="1"/>
  <c r="Q2" i="1"/>
  <c r="Q3" i="1"/>
  <c r="Q4" i="1"/>
  <c r="Q5" i="1"/>
  <c r="Q6" i="1"/>
  <c r="Q7" i="1"/>
  <c r="Q8" i="1"/>
  <c r="Q9" i="1"/>
  <c r="Q10" i="1"/>
  <c r="Q11" i="1"/>
  <c r="Q12" i="1"/>
  <c r="Q13" i="1"/>
  <c r="Q15" i="1"/>
  <c r="Q16" i="1"/>
  <c r="Q27" i="1"/>
  <c r="Q28" i="1"/>
  <c r="Q29" i="1"/>
  <c r="T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27" i="1"/>
  <c r="T28" i="1"/>
  <c r="T29" i="1"/>
  <c r="S14" i="1"/>
  <c r="G14" i="1"/>
  <c r="H14" i="1" s="1"/>
  <c r="S27" i="2"/>
  <c r="R27" i="2"/>
  <c r="P27" i="2"/>
  <c r="S26" i="2"/>
  <c r="R26" i="2"/>
  <c r="P26" i="2"/>
  <c r="G26" i="2"/>
  <c r="S25" i="2"/>
  <c r="R25" i="2"/>
  <c r="P25" i="2"/>
  <c r="G25" i="2"/>
  <c r="S24" i="2"/>
  <c r="R24" i="2"/>
  <c r="P24" i="2"/>
  <c r="G24" i="2"/>
  <c r="S23" i="2"/>
  <c r="R23" i="2"/>
  <c r="P23" i="2"/>
  <c r="G23" i="2"/>
  <c r="S22" i="2"/>
  <c r="R22" i="2"/>
  <c r="P22" i="2"/>
  <c r="G22" i="2"/>
  <c r="S21" i="2"/>
  <c r="R21" i="2"/>
  <c r="P21" i="2"/>
  <c r="G21" i="2"/>
  <c r="S20" i="2"/>
  <c r="R20" i="2"/>
  <c r="P20" i="2"/>
  <c r="G20" i="2"/>
  <c r="S19" i="2"/>
  <c r="R19" i="2"/>
  <c r="P19" i="2"/>
  <c r="G19" i="2"/>
  <c r="S18" i="2"/>
  <c r="R18" i="2"/>
  <c r="P18" i="2"/>
  <c r="G18" i="2"/>
  <c r="S17" i="2"/>
  <c r="R17" i="2"/>
  <c r="P17" i="2"/>
  <c r="G17" i="2"/>
  <c r="S16" i="2"/>
  <c r="R16" i="2"/>
  <c r="P16" i="2"/>
  <c r="J16" i="2"/>
  <c r="H16" i="2"/>
  <c r="G16" i="2"/>
  <c r="S15" i="2"/>
  <c r="R15" i="2"/>
  <c r="P15" i="2"/>
  <c r="G15" i="2"/>
  <c r="J15" i="2" s="1"/>
  <c r="S14" i="2"/>
  <c r="R14" i="2"/>
  <c r="P14" i="2"/>
  <c r="J14" i="2"/>
  <c r="H14" i="2"/>
  <c r="G14" i="2"/>
  <c r="S13" i="2"/>
  <c r="R13" i="2"/>
  <c r="P13" i="2"/>
  <c r="G13" i="2"/>
  <c r="J13" i="2" s="1"/>
  <c r="S12" i="2"/>
  <c r="R12" i="2"/>
  <c r="P12" i="2"/>
  <c r="J12" i="2"/>
  <c r="H12" i="2"/>
  <c r="G12" i="2"/>
  <c r="S11" i="2"/>
  <c r="R11" i="2"/>
  <c r="P11" i="2"/>
  <c r="G11" i="2"/>
  <c r="J11" i="2" s="1"/>
  <c r="S10" i="2"/>
  <c r="R10" i="2"/>
  <c r="P10" i="2"/>
  <c r="J10" i="2"/>
  <c r="H10" i="2"/>
  <c r="G10" i="2"/>
  <c r="S9" i="2"/>
  <c r="R9" i="2"/>
  <c r="P9" i="2"/>
  <c r="G9" i="2"/>
  <c r="J9" i="2" s="1"/>
  <c r="S8" i="2"/>
  <c r="R8" i="2"/>
  <c r="P8" i="2"/>
  <c r="J8" i="2"/>
  <c r="H8" i="2"/>
  <c r="G8" i="2"/>
  <c r="S7" i="2"/>
  <c r="R7" i="2"/>
  <c r="P7" i="2"/>
  <c r="G7" i="2"/>
  <c r="J7" i="2" s="1"/>
  <c r="S6" i="2"/>
  <c r="R6" i="2"/>
  <c r="P6" i="2"/>
  <c r="J6" i="2"/>
  <c r="H6" i="2"/>
  <c r="G6" i="2"/>
  <c r="S5" i="2"/>
  <c r="R5" i="2"/>
  <c r="P5" i="2"/>
  <c r="G5" i="2"/>
  <c r="J5" i="2" s="1"/>
  <c r="S4" i="2"/>
  <c r="R4" i="2"/>
  <c r="P4" i="2"/>
  <c r="J4" i="2"/>
  <c r="H4" i="2"/>
  <c r="G4" i="2"/>
  <c r="S3" i="2"/>
  <c r="R3" i="2"/>
  <c r="P3" i="2"/>
  <c r="G3" i="2"/>
  <c r="J3" i="2" s="1"/>
  <c r="S2" i="2"/>
  <c r="R2" i="2"/>
  <c r="P2" i="2"/>
  <c r="J2" i="2"/>
  <c r="H2" i="2"/>
  <c r="G2" i="2"/>
  <c r="S2" i="1"/>
  <c r="S3" i="1"/>
  <c r="S4" i="1"/>
  <c r="S5" i="1"/>
  <c r="S6" i="1"/>
  <c r="S7" i="1"/>
  <c r="S8" i="1"/>
  <c r="S9" i="1"/>
  <c r="S10" i="1"/>
  <c r="S11" i="1"/>
  <c r="S12" i="1"/>
  <c r="S13" i="1"/>
  <c r="S15" i="1"/>
  <c r="S16" i="1"/>
  <c r="S27" i="1"/>
  <c r="S28" i="1"/>
  <c r="S29" i="1"/>
  <c r="G28" i="1"/>
  <c r="G29" i="1"/>
  <c r="G27" i="1"/>
  <c r="G16" i="1"/>
  <c r="J16" i="1" s="1"/>
  <c r="G15" i="1"/>
  <c r="H15" i="1" s="1"/>
  <c r="G13" i="1"/>
  <c r="H13" i="1" s="1"/>
  <c r="G12" i="1"/>
  <c r="J12" i="1" s="1"/>
  <c r="G11" i="1"/>
  <c r="H11" i="1" s="1"/>
  <c r="G10" i="1"/>
  <c r="J10" i="1" s="1"/>
  <c r="G9" i="1"/>
  <c r="H9" i="1" s="1"/>
  <c r="G8" i="1"/>
  <c r="J8" i="1" s="1"/>
  <c r="G7" i="1"/>
  <c r="J7" i="1" s="1"/>
  <c r="G6" i="1"/>
  <c r="J6" i="1" s="1"/>
  <c r="G5" i="1"/>
  <c r="H5" i="1" s="1"/>
  <c r="G4" i="1"/>
  <c r="J4" i="1" s="1"/>
  <c r="G3" i="1"/>
  <c r="H3" i="1" s="1"/>
  <c r="G2" i="1"/>
  <c r="J2" i="1" s="1"/>
  <c r="J60" i="1" l="1"/>
  <c r="H51" i="1"/>
  <c r="I51" i="1" s="1"/>
  <c r="Q51" i="1" s="1"/>
  <c r="I48" i="1"/>
  <c r="Q48" i="1" s="1"/>
  <c r="H49" i="1"/>
  <c r="J40" i="1"/>
  <c r="J39" i="1"/>
  <c r="J25" i="1"/>
  <c r="H20" i="1"/>
  <c r="J19" i="1"/>
  <c r="H23" i="1"/>
  <c r="J22" i="1"/>
  <c r="J24" i="1"/>
  <c r="J18" i="1"/>
  <c r="J21" i="1"/>
  <c r="J17" i="1"/>
  <c r="H26" i="1"/>
  <c r="J14" i="1"/>
  <c r="H3" i="2"/>
  <c r="H7" i="2"/>
  <c r="H11" i="2"/>
  <c r="H15" i="2"/>
  <c r="H5" i="2"/>
  <c r="H9" i="2"/>
  <c r="H13" i="2"/>
  <c r="J9" i="1"/>
  <c r="J3" i="1"/>
  <c r="J13" i="1"/>
  <c r="J5" i="1"/>
  <c r="J11" i="1"/>
  <c r="J15" i="1"/>
  <c r="H4" i="1"/>
  <c r="H7" i="1"/>
  <c r="H16" i="1"/>
  <c r="H8" i="1"/>
  <c r="H2" i="1"/>
  <c r="H12" i="1"/>
  <c r="H6" i="1"/>
  <c r="H10" i="1"/>
  <c r="Q50" i="1"/>
  <c r="Q52" i="1"/>
  <c r="Q53" i="1"/>
</calcChain>
</file>

<file path=xl/sharedStrings.xml><?xml version="1.0" encoding="utf-8"?>
<sst xmlns="http://schemas.openxmlformats.org/spreadsheetml/2006/main" count="249" uniqueCount="30">
  <si>
    <t>case</t>
  </si>
  <si>
    <t>solution_method</t>
  </si>
  <si>
    <t>conv_scheme</t>
  </si>
  <si>
    <t>time_scheme</t>
  </si>
  <si>
    <t>N</t>
  </si>
  <si>
    <t>DX</t>
  </si>
  <si>
    <t>RE</t>
  </si>
  <si>
    <t>clock_time</t>
  </si>
  <si>
    <t>colour</t>
  </si>
  <si>
    <t>compare_diff</t>
  </si>
  <si>
    <t>plot</t>
  </si>
  <si>
    <t>Coldumn3</t>
  </si>
  <si>
    <t>EFSM</t>
  </si>
  <si>
    <t>UDS</t>
  </si>
  <si>
    <t>C0</t>
  </si>
  <si>
    <t>C1</t>
  </si>
  <si>
    <t>QUICK</t>
  </si>
  <si>
    <t>C2</t>
  </si>
  <si>
    <t>C3</t>
  </si>
  <si>
    <t>SIMPLE</t>
  </si>
  <si>
    <t>IT</t>
  </si>
  <si>
    <t>DT</t>
  </si>
  <si>
    <t>DT_MAX</t>
  </si>
  <si>
    <t>CFL</t>
  </si>
  <si>
    <t>URF</t>
  </si>
  <si>
    <t>diverging_factor</t>
  </si>
  <si>
    <t>Coldumn4</t>
  </si>
  <si>
    <t>Time (min)</t>
  </si>
  <si>
    <t>URFU</t>
  </si>
  <si>
    <t>URFP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</si>
</sst>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rgb="FFFFFFFF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0000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7" tint="0.79998168889431442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2" fontId="0" fillId="0" borderId="0" xfId="0" applyNumberFormat="1"/>
    <xf numFmtId="0" fontId="1" fillId="0" borderId="1" xfId="0" applyFont="1" applyBorder="1"/>
    <xf numFmtId="0" fontId="0" fillId="0" borderId="3" xfId="0" applyBorder="1"/>
    <xf numFmtId="2" fontId="0" fillId="0" borderId="3" xfId="0" applyNumberFormat="1" applyBorder="1"/>
    <xf numFmtId="0" fontId="1" fillId="2" borderId="1" xfId="0" applyFont="1" applyFill="1" applyBorder="1"/>
    <xf numFmtId="0" fontId="3" fillId="3" borderId="1" xfId="0" applyFont="1" applyFill="1" applyBorder="1"/>
    <xf numFmtId="0" fontId="0" fillId="0" borderId="2" xfId="0" applyBorder="1"/>
    <xf numFmtId="2" fontId="0" fillId="0" borderId="2" xfId="0" applyNumberFormat="1" applyBorder="1"/>
    <xf numFmtId="0" fontId="0" fillId="4" borderId="0" xfId="0" applyFill="1"/>
    <xf numFmtId="2" fontId="0" fillId="4" borderId="0" xfId="0" applyNumberFormat="1" applyFill="1"/>
    <xf numFmtId="0" fontId="0" fillId="4" borderId="2" xfId="0" applyFill="1" applyBorder="1"/>
    <xf numFmtId="2" fontId="0" fillId="4" borderId="2" xfId="0" applyNumberFormat="1" applyFill="1" applyBorder="1"/>
    <xf numFmtId="0" fontId="0" fillId="4" borderId="3" xfId="0" applyFill="1" applyBorder="1"/>
    <xf numFmtId="2" fontId="0" fillId="4" borderId="3" xfId="0" applyNumberFormat="1" applyFill="1" applyBorder="1"/>
    <xf numFmtId="0" fontId="0" fillId="5" borderId="0" xfId="0" applyFill="1"/>
    <xf numFmtId="2" fontId="0" fillId="5" borderId="0" xfId="0" applyNumberFormat="1" applyFill="1"/>
    <xf numFmtId="0" fontId="1" fillId="5" borderId="1" xfId="0" applyFont="1" applyFill="1" applyBorder="1"/>
    <xf numFmtId="0" fontId="0" fillId="0" borderId="0" xfId="0" applyFill="1"/>
    <xf numFmtId="0" fontId="1" fillId="0" borderId="1" xfId="0" applyFont="1" applyFill="1" applyBorder="1"/>
    <xf numFmtId="2" fontId="0" fillId="0" borderId="0" xfId="0" applyNumberFormat="1" applyFill="1"/>
    <xf numFmtId="0" fontId="1" fillId="0" borderId="0" xfId="0" applyFont="1" applyFill="1" applyBorder="1"/>
    <xf numFmtId="0" fontId="0" fillId="0" borderId="3" xfId="0" applyFill="1" applyBorder="1"/>
    <xf numFmtId="0" fontId="1" fillId="0" borderId="5" xfId="0" applyFont="1" applyFill="1" applyBorder="1"/>
    <xf numFmtId="0" fontId="1" fillId="0" borderId="3" xfId="0" applyFont="1" applyFill="1" applyBorder="1"/>
    <xf numFmtId="2" fontId="0" fillId="0" borderId="3" xfId="0" applyNumberFormat="1" applyFill="1" applyBorder="1"/>
    <xf numFmtId="0" fontId="1" fillId="5" borderId="4" xfId="0" applyFont="1" applyFill="1" applyBorder="1"/>
    <xf numFmtId="0" fontId="0" fillId="0" borderId="6" xfId="0" applyBorder="1"/>
    <xf numFmtId="0" fontId="0" fillId="4" borderId="7" xfId="0" applyFill="1" applyBorder="1"/>
    <xf numFmtId="2" fontId="0" fillId="4" borderId="7" xfId="0" applyNumberFormat="1" applyFill="1" applyBorder="1"/>
    <xf numFmtId="0" fontId="0" fillId="4" borderId="6" xfId="0" applyFill="1" applyBorder="1"/>
    <xf numFmtId="0" fontId="0" fillId="0" borderId="7" xfId="0" applyBorder="1"/>
    <xf numFmtId="0" fontId="0" fillId="0" borderId="0" xfId="0" applyNumberFormat="1"/>
    <xf numFmtId="0" fontId="0" fillId="5" borderId="3" xfId="0" applyFill="1" applyBorder="1"/>
    <xf numFmtId="0" fontId="0" fillId="0" borderId="3" xfId="0" applyNumberFormat="1" applyBorder="1"/>
    <xf numFmtId="0" fontId="0" fillId="5" borderId="0" xfId="0" applyNumberFormat="1" applyFill="1"/>
    <xf numFmtId="0" fontId="0" fillId="5" borderId="3" xfId="0" applyNumberFormat="1" applyFill="1" applyBorder="1"/>
    <xf numFmtId="2" fontId="0" fillId="5" borderId="3" xfId="0" applyNumberFormat="1" applyFill="1" applyBorder="1"/>
    <xf numFmtId="0" fontId="0" fillId="6" borderId="0" xfId="0" applyFill="1"/>
    <xf numFmtId="0" fontId="0" fillId="6" borderId="0" xfId="0" applyNumberFormat="1" applyFill="1"/>
    <xf numFmtId="2" fontId="0" fillId="6" borderId="0" xfId="0" applyNumberFormat="1" applyFill="1"/>
  </cellXfs>
  <cellStyles count="1">
    <cellStyle name="Normal" xfId="0" builtinId="0"/>
  </cellStyles>
  <dxfs count="2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2" formatCode="0.00"/>
    </dxf>
    <dxf>
      <fill>
        <patternFill patternType="none">
          <fgColor indexed="64"/>
          <bgColor indexed="65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2" formatCode="0.00"/>
    </dxf>
    <dxf>
      <fill>
        <patternFill patternType="none">
          <fgColor indexed="64"/>
          <bgColor indexed="65"/>
        </patternFill>
      </fill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262BF81-760A-7144-97B7-D76DB2B84840}" name="Table52" displayName="Table52" ref="A1:T64" totalsRowShown="0">
  <autoFilter ref="A1:T64" xr:uid="{1262BF81-760A-7144-97B7-D76DB2B84840}"/>
  <tableColumns count="20">
    <tableColumn id="1" xr3:uid="{F042FD67-138A-3747-8F7D-92055EB26E1F}" name="case"/>
    <tableColumn id="19" xr3:uid="{6D3F4F6F-712A-EA45-8F90-560AA5EB3396}" name="solution_method"/>
    <tableColumn id="21" xr3:uid="{0FCB0505-3853-1D4B-812F-918F6E1D4857}" name="time_scheme"/>
    <tableColumn id="2" xr3:uid="{00DE4CFB-CE63-774C-9203-441FF3361859}" name="conv_scheme"/>
    <tableColumn id="17" xr3:uid="{47055424-3AAA-D24A-BA60-63AE4C6D6F5B}" name="RE"/>
    <tableColumn id="4" xr3:uid="{495CF2F5-C4F9-8F4D-AA38-DF0B3BD005AB}" name="N"/>
    <tableColumn id="5" xr3:uid="{766BC887-C47B-5B4D-856A-DB7D9716FC41}" name="DX" dataDxfId="9">
      <calculatedColumnFormula>1/Table52[[#This Row],[N]]</calculatedColumnFormula>
    </tableColumn>
    <tableColumn id="6" xr3:uid="{41134D54-A4BA-874E-976C-009F5555A5F2}" name="DT_MAX" dataDxfId="8">
      <calculatedColumnFormula>Table52[[#This Row],[DX]]/1</calculatedColumnFormula>
    </tableColumn>
    <tableColumn id="8" xr3:uid="{273D8EE8-DE95-664F-9350-38E8AA2F9049}" name="DT"/>
    <tableColumn id="22" xr3:uid="{F37937B1-F618-9544-858E-9C385880A578}" name="CFL" dataDxfId="7">
      <calculatedColumnFormula>1*Table52[[#This Row],[DT]]/Table52[[#This Row],[DX]]</calculatedColumnFormula>
    </tableColumn>
    <tableColumn id="7" xr3:uid="{CC46E7B8-FF0D-C94B-AE73-961311865B19}" name="URFP"/>
    <tableColumn id="16" xr3:uid="{57BAD542-64CC-254E-88F0-83BA2685E4ED}" name="URFU" dataDxfId="6"/>
    <tableColumn id="9" xr3:uid="{CF78813F-1FCF-E643-8377-72AF6325BEEE}" name="diverging_factor" dataDxfId="5"/>
    <tableColumn id="25" xr3:uid="{B19A7E44-6A26-8B41-BA69-77F75344DEA3}" name="IT" dataDxfId="4"/>
    <tableColumn id="11" xr3:uid="{F124CBF0-B3EB-C444-B55D-C50EED146627}" name="clock_time"/>
    <tableColumn id="12" xr3:uid="{5F48E9FB-C4BC-024C-B991-90BE72C979E1}" name="colour"/>
    <tableColumn id="13" xr3:uid="{DEF21282-AC7A-5545-B41D-E8A24B1E8319}" name="compare_diff" dataDxfId="3">
      <calculatedColumnFormula>2.5/Table52[[#This Row],[DT]]</calculatedColumnFormula>
    </tableColumn>
    <tableColumn id="14" xr3:uid="{04DFDB2B-B2EB-2143-A2BD-C078D341F02C}" name="plot" dataDxfId="2"/>
    <tableColumn id="15" xr3:uid="{2C94A75A-643C-AB4F-B973-F132BD67C52D}" name="Coldumn3" dataDxfId="1">
      <calculatedColumnFormula>Table52[[#This Row],[IT]]/Table52[[#This Row],[plot]]</calculatedColumnFormula>
    </tableColumn>
    <tableColumn id="3" xr3:uid="{4E3C3F99-0854-E448-B822-ED1CAF3861A9}" name="Time (min)" dataDxfId="0">
      <calculatedColumnFormula>Table52[[#This Row],[clock_time]]/60</calculatedColumnFormula>
    </tableColumn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619E0C3-67B0-5746-BBA1-BD2B2794910B}" name="Table523" displayName="Table523" ref="A1:S27" totalsRowShown="0">
  <autoFilter ref="A1:S27" xr:uid="{F619E0C3-67B0-5746-BBA1-BD2B2794910B}"/>
  <tableColumns count="19">
    <tableColumn id="1" xr3:uid="{F6171459-FA5C-8747-AB76-14C314E2F876}" name="case"/>
    <tableColumn id="19" xr3:uid="{7154C1EC-9940-5747-A25C-931229F7DAC2}" name="solution_method"/>
    <tableColumn id="21" xr3:uid="{946A826B-05D4-C540-AB8D-D5F5D8147A4C}" name="time_scheme"/>
    <tableColumn id="2" xr3:uid="{5CAB8637-6767-EF4F-AB30-8872A405584F}" name="conv_scheme"/>
    <tableColumn id="17" xr3:uid="{F7E8B8A5-B5C1-654E-BF6E-56FB97322E67}" name="RE"/>
    <tableColumn id="4" xr3:uid="{D0F235B2-EEA8-D14B-A9CC-E4901839BFD8}" name="N"/>
    <tableColumn id="5" xr3:uid="{83BA6CEC-05CE-F148-8D33-78AB6664A553}" name="DX" dataDxfId="19">
      <calculatedColumnFormula>1/Table523[[#This Row],[N]]</calculatedColumnFormula>
    </tableColumn>
    <tableColumn id="6" xr3:uid="{67B863EC-1E80-594A-8E8C-A8AB6A765A5B}" name="DT_MAX" dataDxfId="18">
      <calculatedColumnFormula>Table523[[#This Row],[DX]]/1</calculatedColumnFormula>
    </tableColumn>
    <tableColumn id="8" xr3:uid="{B6FA003B-6936-8041-9393-B2FBF938999E}" name="DT"/>
    <tableColumn id="22" xr3:uid="{6AF97E91-5A09-0D4F-8AFB-1FA45DB53426}" name="CFL" dataDxfId="17">
      <calculatedColumnFormula>1*Table523[[#This Row],[DT]]/Table523[[#This Row],[DX]]</calculatedColumnFormula>
    </tableColumn>
    <tableColumn id="16" xr3:uid="{18D7BD5A-213F-BD40-97BA-0D536A04F891}" name="URF" dataDxfId="16"/>
    <tableColumn id="9" xr3:uid="{798FE19B-9189-494F-A3BB-310F03005E42}" name="diverging_factor" dataDxfId="15"/>
    <tableColumn id="25" xr3:uid="{FDF5445A-F7EE-1F4D-9905-BD45A45BD22B}" name="IT" dataDxfId="14"/>
    <tableColumn id="11" xr3:uid="{BEAE8ECD-6C05-B047-A51B-18671676A586}" name="clock_time"/>
    <tableColumn id="12" xr3:uid="{750E52A0-203C-CD4A-98C6-C1F65E42F542}" name="colour"/>
    <tableColumn id="13" xr3:uid="{FDAC66DF-EEEF-4B40-9B2B-8468B1ABCB4F}" name="compare_diff" dataDxfId="13">
      <calculatedColumnFormula>Table523[[#This Row],[IT]]/(Table523[[#This Row],[DT]]^(0.001))</calculatedColumnFormula>
    </tableColumn>
    <tableColumn id="14" xr3:uid="{25F9EF5E-5623-9348-AFD3-BE21DEB4A0B1}" name="plot" dataDxfId="12"/>
    <tableColumn id="15" xr3:uid="{6C6DB161-08C1-8C41-8D04-DBB62D987A88}" name="Coldumn3" dataDxfId="11">
      <calculatedColumnFormula>Table523[[#This Row],[IT]]/Table523[[#This Row],[plot]]</calculatedColumnFormula>
    </tableColumn>
    <tableColumn id="3" xr3:uid="{8D89A138-3ECA-4F4F-8AE2-5ED05E63F0B1}" name="Coldumn4" dataDxfId="10">
      <calculatedColumnFormula>Table523[[#This Row],[clock_time]]/60</calculatedColumn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1C424-3935-5946-8401-AC39630593AC}">
  <dimension ref="A1:T64"/>
  <sheetViews>
    <sheetView tabSelected="1" topLeftCell="A41" zoomScale="107" workbookViewId="0">
      <selection activeCell="M67" sqref="M67"/>
    </sheetView>
  </sheetViews>
  <sheetFormatPr baseColWidth="10" defaultRowHeight="16" x14ac:dyDescent="0.2"/>
  <cols>
    <col min="2" max="3" width="13.6640625" customWidth="1"/>
    <col min="4" max="4" width="12.33203125" customWidth="1"/>
    <col min="6" max="6" width="14.5" customWidth="1"/>
    <col min="8" max="8" width="11.33203125" style="1" customWidth="1"/>
  </cols>
  <sheetData>
    <row r="1" spans="1:20" x14ac:dyDescent="0.2">
      <c r="A1" t="s">
        <v>0</v>
      </c>
      <c r="B1" t="s">
        <v>1</v>
      </c>
      <c r="C1" t="s">
        <v>3</v>
      </c>
      <c r="D1" t="s">
        <v>2</v>
      </c>
      <c r="E1" t="s">
        <v>6</v>
      </c>
      <c r="F1" t="s">
        <v>4</v>
      </c>
      <c r="G1" t="s">
        <v>5</v>
      </c>
      <c r="H1" t="s">
        <v>22</v>
      </c>
      <c r="I1" t="s">
        <v>21</v>
      </c>
      <c r="J1" t="s">
        <v>23</v>
      </c>
      <c r="K1" t="s">
        <v>29</v>
      </c>
      <c r="L1" t="s">
        <v>28</v>
      </c>
      <c r="M1" t="s">
        <v>25</v>
      </c>
      <c r="N1" s="6" t="s">
        <v>20</v>
      </c>
      <c r="O1" s="1" t="s">
        <v>7</v>
      </c>
      <c r="P1" t="s">
        <v>8</v>
      </c>
      <c r="Q1" t="s">
        <v>9</v>
      </c>
      <c r="R1" t="s">
        <v>10</v>
      </c>
      <c r="S1" t="s">
        <v>11</v>
      </c>
      <c r="T1" t="s">
        <v>27</v>
      </c>
    </row>
    <row r="2" spans="1:20" x14ac:dyDescent="0.2">
      <c r="A2">
        <v>1</v>
      </c>
      <c r="B2" t="s">
        <v>12</v>
      </c>
      <c r="C2">
        <v>1</v>
      </c>
      <c r="D2" t="s">
        <v>13</v>
      </c>
      <c r="E2">
        <v>1000</v>
      </c>
      <c r="F2">
        <v>16</v>
      </c>
      <c r="G2">
        <f>1/Table52[[#This Row],[N]]</f>
        <v>6.25E-2</v>
      </c>
      <c r="H2">
        <f>Table52[[#This Row],[DX]]/1</f>
        <v>6.25E-2</v>
      </c>
      <c r="I2">
        <v>0.15</v>
      </c>
      <c r="J2">
        <f>1*Table52[[#This Row],[DT]]/Table52[[#This Row],[DX]]</f>
        <v>2.4</v>
      </c>
      <c r="L2">
        <v>-1</v>
      </c>
      <c r="M2">
        <v>0.2</v>
      </c>
      <c r="N2" s="1">
        <v>260</v>
      </c>
      <c r="O2" s="1">
        <v>0.247446999</v>
      </c>
      <c r="P2" t="s">
        <v>14</v>
      </c>
      <c r="Q2">
        <f>2.5/Table52[[#This Row],[DT]]</f>
        <v>16.666666666666668</v>
      </c>
      <c r="R2">
        <v>25</v>
      </c>
      <c r="S2">
        <f>Table52[[#This Row],[IT]]/Table52[[#This Row],[plot]]</f>
        <v>10.4</v>
      </c>
      <c r="T2">
        <f>Table52[[#This Row],[clock_time]]/60</f>
        <v>4.1241166499999997E-3</v>
      </c>
    </row>
    <row r="3" spans="1:20" x14ac:dyDescent="0.2">
      <c r="A3">
        <v>2</v>
      </c>
      <c r="B3" t="s">
        <v>12</v>
      </c>
      <c r="C3">
        <v>1</v>
      </c>
      <c r="D3" t="s">
        <v>13</v>
      </c>
      <c r="E3">
        <v>1000</v>
      </c>
      <c r="F3">
        <v>32</v>
      </c>
      <c r="G3">
        <f>1/Table52[[#This Row],[N]]</f>
        <v>3.125E-2</v>
      </c>
      <c r="H3">
        <f>Table52[[#This Row],[DX]]/1</f>
        <v>3.125E-2</v>
      </c>
      <c r="I3">
        <v>0.05</v>
      </c>
      <c r="J3">
        <f>1*Table52[[#This Row],[DT]]/Table52[[#This Row],[DX]]</f>
        <v>1.6</v>
      </c>
      <c r="L3">
        <v>-1</v>
      </c>
      <c r="M3">
        <v>0.1</v>
      </c>
      <c r="N3">
        <v>860</v>
      </c>
      <c r="O3" s="1">
        <v>3.8879101299999999</v>
      </c>
      <c r="P3" t="s">
        <v>14</v>
      </c>
      <c r="Q3">
        <f>2.5/Table52[[#This Row],[DT]]</f>
        <v>50</v>
      </c>
      <c r="R3">
        <v>100</v>
      </c>
      <c r="S3">
        <f>Table52[[#This Row],[IT]]/Table52[[#This Row],[plot]]</f>
        <v>8.6</v>
      </c>
      <c r="T3">
        <f>Table52[[#This Row],[clock_time]]/60</f>
        <v>6.4798502166666661E-2</v>
      </c>
    </row>
    <row r="4" spans="1:20" s="15" customFormat="1" x14ac:dyDescent="0.2">
      <c r="A4" s="15">
        <v>3</v>
      </c>
      <c r="B4" s="15" t="s">
        <v>12</v>
      </c>
      <c r="C4" s="15">
        <v>1</v>
      </c>
      <c r="D4" s="15" t="s">
        <v>13</v>
      </c>
      <c r="E4" s="15">
        <v>1000</v>
      </c>
      <c r="F4" s="15">
        <v>64</v>
      </c>
      <c r="G4" s="15">
        <f>1/Table52[[#This Row],[N]]</f>
        <v>1.5625E-2</v>
      </c>
      <c r="H4" s="15">
        <f>Table52[[#This Row],[DX]]/1</f>
        <v>1.5625E-2</v>
      </c>
      <c r="I4" s="15">
        <v>1.4999999999999999E-2</v>
      </c>
      <c r="J4" s="15">
        <f>1*Table52[[#This Row],[DT]]/Table52[[#This Row],[DX]]</f>
        <v>0.96</v>
      </c>
      <c r="L4" s="15">
        <v>-1</v>
      </c>
      <c r="M4" s="15">
        <v>0.02</v>
      </c>
      <c r="N4" s="15">
        <v>3322</v>
      </c>
      <c r="O4" s="15">
        <v>44.980831100000003</v>
      </c>
      <c r="P4" s="15" t="s">
        <v>14</v>
      </c>
      <c r="Q4" s="15">
        <f>2.5/Table52[[#This Row],[DT]]</f>
        <v>166.66666666666669</v>
      </c>
      <c r="R4" s="15">
        <v>250</v>
      </c>
      <c r="S4" s="15">
        <f>Table52[[#This Row],[IT]]/Table52[[#This Row],[plot]]</f>
        <v>13.288</v>
      </c>
      <c r="T4" s="15">
        <f>Table52[[#This Row],[clock_time]]/60</f>
        <v>0.74968051833333338</v>
      </c>
    </row>
    <row r="5" spans="1:20" x14ac:dyDescent="0.2">
      <c r="A5">
        <v>4</v>
      </c>
      <c r="B5" t="s">
        <v>12</v>
      </c>
      <c r="C5">
        <v>1</v>
      </c>
      <c r="D5" t="s">
        <v>13</v>
      </c>
      <c r="E5">
        <v>1000</v>
      </c>
      <c r="F5">
        <v>128</v>
      </c>
      <c r="G5">
        <f>1/Table52[[#This Row],[N]]</f>
        <v>7.8125E-3</v>
      </c>
      <c r="H5">
        <f>Table52[[#This Row],[DX]]/1</f>
        <v>7.8125E-3</v>
      </c>
      <c r="I5">
        <v>5.0000000000000001E-3</v>
      </c>
      <c r="J5">
        <f>1*Table52[[#This Row],[DT]]/Table52[[#This Row],[DX]]</f>
        <v>0.64</v>
      </c>
      <c r="L5">
        <v>-1</v>
      </c>
      <c r="M5">
        <v>0.01</v>
      </c>
      <c r="N5">
        <v>11952</v>
      </c>
      <c r="O5" s="1">
        <v>377.19601399999999</v>
      </c>
      <c r="P5" t="s">
        <v>14</v>
      </c>
      <c r="Q5">
        <f>2.5/Table52[[#This Row],[DT]]</f>
        <v>500</v>
      </c>
      <c r="R5">
        <v>1000</v>
      </c>
      <c r="S5">
        <f>Table52[[#This Row],[IT]]/Table52[[#This Row],[plot]]</f>
        <v>11.952</v>
      </c>
      <c r="T5">
        <f>Table52[[#This Row],[clock_time]]/60</f>
        <v>6.2866002333333331</v>
      </c>
    </row>
    <row r="6" spans="1:20" x14ac:dyDescent="0.2">
      <c r="A6">
        <v>5</v>
      </c>
      <c r="B6" t="s">
        <v>12</v>
      </c>
      <c r="C6">
        <v>1</v>
      </c>
      <c r="D6" t="s">
        <v>13</v>
      </c>
      <c r="E6">
        <v>1000</v>
      </c>
      <c r="F6">
        <v>256</v>
      </c>
      <c r="G6">
        <f>1/Table52[[#This Row],[N]]</f>
        <v>3.90625E-3</v>
      </c>
      <c r="H6">
        <f>Table52[[#This Row],[DX]]/1</f>
        <v>3.90625E-3</v>
      </c>
      <c r="I6">
        <v>1.5E-3</v>
      </c>
      <c r="J6">
        <f>1*Table52[[#This Row],[DT]]/Table52[[#This Row],[DX]]</f>
        <v>0.38400000000000001</v>
      </c>
      <c r="L6">
        <v>-1</v>
      </c>
      <c r="M6">
        <v>2.5000000000000001E-3</v>
      </c>
      <c r="N6">
        <v>43836</v>
      </c>
      <c r="O6" s="1">
        <v>3393.8759799999998</v>
      </c>
      <c r="P6" t="s">
        <v>15</v>
      </c>
      <c r="Q6">
        <f>2.5/Table52[[#This Row],[DT]]</f>
        <v>1666.6666666666667</v>
      </c>
      <c r="R6">
        <v>5000</v>
      </c>
      <c r="S6">
        <f>Table52[[#This Row],[IT]]/Table52[[#This Row],[plot]]</f>
        <v>8.7672000000000008</v>
      </c>
      <c r="T6">
        <f>Table52[[#This Row],[clock_time]]/60</f>
        <v>56.564599666666666</v>
      </c>
    </row>
    <row r="7" spans="1:20" x14ac:dyDescent="0.2">
      <c r="A7">
        <v>6</v>
      </c>
      <c r="B7" t="s">
        <v>12</v>
      </c>
      <c r="C7">
        <v>1</v>
      </c>
      <c r="D7" t="s">
        <v>16</v>
      </c>
      <c r="E7">
        <v>1000</v>
      </c>
      <c r="F7">
        <v>16</v>
      </c>
      <c r="G7">
        <f>1/Table52[[#This Row],[N]]</f>
        <v>6.25E-2</v>
      </c>
      <c r="H7">
        <f>Table52[[#This Row],[DX]]/1</f>
        <v>6.25E-2</v>
      </c>
      <c r="I7">
        <v>0.1</v>
      </c>
      <c r="J7">
        <f>1*Table52[[#This Row],[DT]]/Table52[[#This Row],[DX]]</f>
        <v>1.6</v>
      </c>
      <c r="L7">
        <v>-1</v>
      </c>
      <c r="M7">
        <v>0.15</v>
      </c>
      <c r="N7">
        <v>675</v>
      </c>
      <c r="O7" s="1">
        <v>0.43378701800000002</v>
      </c>
      <c r="P7" t="s">
        <v>15</v>
      </c>
      <c r="Q7">
        <f>2.5/Table52[[#This Row],[DT]]</f>
        <v>25</v>
      </c>
      <c r="R7">
        <v>50</v>
      </c>
      <c r="S7">
        <f>Table52[[#This Row],[IT]]/Table52[[#This Row],[plot]]</f>
        <v>13.5</v>
      </c>
      <c r="T7">
        <f>Table52[[#This Row],[clock_time]]/60</f>
        <v>7.2297836333333337E-3</v>
      </c>
    </row>
    <row r="8" spans="1:20" x14ac:dyDescent="0.2">
      <c r="A8">
        <v>7</v>
      </c>
      <c r="B8" t="s">
        <v>12</v>
      </c>
      <c r="C8">
        <v>1</v>
      </c>
      <c r="D8" t="s">
        <v>16</v>
      </c>
      <c r="E8">
        <v>1000</v>
      </c>
      <c r="F8">
        <v>32</v>
      </c>
      <c r="G8">
        <f>1/Table52[[#This Row],[N]]</f>
        <v>3.125E-2</v>
      </c>
      <c r="H8">
        <f>Table52[[#This Row],[DX]]/1</f>
        <v>3.125E-2</v>
      </c>
      <c r="I8">
        <v>2.5000000000000001E-2</v>
      </c>
      <c r="J8">
        <f>1*Table52[[#This Row],[DT]]/Table52[[#This Row],[DX]]</f>
        <v>0.8</v>
      </c>
      <c r="L8">
        <v>-1</v>
      </c>
      <c r="M8">
        <v>0.05</v>
      </c>
      <c r="N8">
        <v>1941</v>
      </c>
      <c r="O8" s="1">
        <v>4.5700812300000004</v>
      </c>
      <c r="P8" t="s">
        <v>15</v>
      </c>
      <c r="Q8">
        <f>2.5/Table52[[#This Row],[DT]]</f>
        <v>100</v>
      </c>
      <c r="R8">
        <v>250</v>
      </c>
      <c r="S8">
        <f>Table52[[#This Row],[IT]]/Table52[[#This Row],[plot]]</f>
        <v>7.7640000000000002</v>
      </c>
      <c r="T8">
        <f>Table52[[#This Row],[clock_time]]/60</f>
        <v>7.6168020500000003E-2</v>
      </c>
    </row>
    <row r="9" spans="1:20" x14ac:dyDescent="0.2">
      <c r="A9">
        <v>8</v>
      </c>
      <c r="B9" t="s">
        <v>12</v>
      </c>
      <c r="C9">
        <v>1</v>
      </c>
      <c r="D9" t="s">
        <v>16</v>
      </c>
      <c r="E9">
        <v>1000</v>
      </c>
      <c r="F9">
        <v>64</v>
      </c>
      <c r="G9">
        <f>1/Table52[[#This Row],[N]]</f>
        <v>1.5625E-2</v>
      </c>
      <c r="H9">
        <f>Table52[[#This Row],[DX]]/1</f>
        <v>1.5625E-2</v>
      </c>
      <c r="I9">
        <v>1.4999999999999999E-2</v>
      </c>
      <c r="J9">
        <f>1*Table52[[#This Row],[DT]]/Table52[[#This Row],[DX]]</f>
        <v>0.96</v>
      </c>
      <c r="L9">
        <v>-1</v>
      </c>
      <c r="M9">
        <v>0.02</v>
      </c>
      <c r="N9">
        <v>4202</v>
      </c>
      <c r="O9" s="1">
        <v>61.105514499999998</v>
      </c>
      <c r="P9" t="s">
        <v>15</v>
      </c>
      <c r="Q9">
        <f>2.5/Table52[[#This Row],[DT]]</f>
        <v>166.66666666666669</v>
      </c>
      <c r="R9">
        <v>500</v>
      </c>
      <c r="S9">
        <f>Table52[[#This Row],[IT]]/Table52[[#This Row],[plot]]</f>
        <v>8.4039999999999999</v>
      </c>
      <c r="T9">
        <f>Table52[[#This Row],[clock_time]]/60</f>
        <v>1.0184252416666666</v>
      </c>
    </row>
    <row r="10" spans="1:20" x14ac:dyDescent="0.2">
      <c r="A10">
        <v>9</v>
      </c>
      <c r="B10" t="s">
        <v>12</v>
      </c>
      <c r="C10">
        <v>1</v>
      </c>
      <c r="D10" t="s">
        <v>16</v>
      </c>
      <c r="E10">
        <v>1000</v>
      </c>
      <c r="F10">
        <v>128</v>
      </c>
      <c r="G10">
        <f>1/Table52[[#This Row],[N]]</f>
        <v>7.8125E-3</v>
      </c>
      <c r="H10">
        <f>Table52[[#This Row],[DX]]/1</f>
        <v>7.8125E-3</v>
      </c>
      <c r="I10">
        <v>7.4999999999999997E-3</v>
      </c>
      <c r="J10">
        <f>1*Table52[[#This Row],[DT]]/Table52[[#This Row],[DX]]</f>
        <v>0.96</v>
      </c>
      <c r="L10">
        <v>-1</v>
      </c>
      <c r="N10">
        <v>11902</v>
      </c>
      <c r="O10" s="1">
        <v>567.30658000000005</v>
      </c>
      <c r="P10" t="s">
        <v>17</v>
      </c>
      <c r="Q10">
        <f>2.5/Table52[[#This Row],[DT]]</f>
        <v>333.33333333333337</v>
      </c>
      <c r="R10">
        <v>1000</v>
      </c>
      <c r="S10">
        <f>Table52[[#This Row],[IT]]/Table52[[#This Row],[plot]]</f>
        <v>11.901999999999999</v>
      </c>
      <c r="T10">
        <f>Table52[[#This Row],[clock_time]]/60</f>
        <v>9.455109666666667</v>
      </c>
    </row>
    <row r="11" spans="1:20" s="7" customFormat="1" ht="17" thickBot="1" x14ac:dyDescent="0.25">
      <c r="A11" s="11">
        <v>10</v>
      </c>
      <c r="B11" s="11" t="s">
        <v>12</v>
      </c>
      <c r="C11" s="11">
        <v>1</v>
      </c>
      <c r="D11" s="11" t="s">
        <v>16</v>
      </c>
      <c r="E11" s="11">
        <v>1000</v>
      </c>
      <c r="F11" s="11">
        <v>256</v>
      </c>
      <c r="G11" s="11">
        <f>1/Table52[[#This Row],[N]]</f>
        <v>3.90625E-3</v>
      </c>
      <c r="H11" s="11">
        <f>Table52[[#This Row],[DX]]/1</f>
        <v>3.90625E-3</v>
      </c>
      <c r="I11" s="11">
        <v>2E-3</v>
      </c>
      <c r="J11" s="11">
        <f>1*Table52[[#This Row],[DT]]/Table52[[#This Row],[DX]]</f>
        <v>0.51200000000000001</v>
      </c>
      <c r="K11" s="11"/>
      <c r="L11" s="11">
        <v>-1</v>
      </c>
      <c r="M11" s="11"/>
      <c r="N11" s="11">
        <v>42487</v>
      </c>
      <c r="O11" s="12">
        <v>3972.08862</v>
      </c>
      <c r="P11" s="11" t="s">
        <v>17</v>
      </c>
      <c r="Q11" s="9">
        <f>2.5/Table52[[#This Row],[DT]]</f>
        <v>1250</v>
      </c>
      <c r="R11">
        <v>5000</v>
      </c>
      <c r="S11" s="7">
        <f>Table52[[#This Row],[IT]]/Table52[[#This Row],[plot]]</f>
        <v>8.4974000000000007</v>
      </c>
      <c r="T11" s="7">
        <f>Table52[[#This Row],[clock_time]]/60</f>
        <v>66.201476999999997</v>
      </c>
    </row>
    <row r="12" spans="1:20" ht="18" customHeight="1" x14ac:dyDescent="0.2">
      <c r="A12">
        <v>11</v>
      </c>
      <c r="B12" t="s">
        <v>12</v>
      </c>
      <c r="C12">
        <v>2</v>
      </c>
      <c r="D12" t="s">
        <v>13</v>
      </c>
      <c r="E12">
        <v>1000</v>
      </c>
      <c r="F12">
        <v>16</v>
      </c>
      <c r="G12">
        <f>1/Table52[[#This Row],[N]]</f>
        <v>6.25E-2</v>
      </c>
      <c r="H12">
        <f>Table52[[#This Row],[DX]]/1</f>
        <v>6.25E-2</v>
      </c>
      <c r="I12">
        <v>0.15</v>
      </c>
      <c r="J12">
        <f>1*Table52[[#This Row],[DT]]/Table52[[#This Row],[DX]]</f>
        <v>2.4</v>
      </c>
      <c r="L12">
        <v>-1</v>
      </c>
      <c r="M12">
        <v>0.2</v>
      </c>
      <c r="N12">
        <v>259</v>
      </c>
      <c r="O12" s="1">
        <v>0.234771013</v>
      </c>
      <c r="P12" t="s">
        <v>17</v>
      </c>
      <c r="Q12">
        <f>2.5/Table52[[#This Row],[DT]]</f>
        <v>16.666666666666668</v>
      </c>
      <c r="R12">
        <v>25</v>
      </c>
      <c r="S12">
        <f>Table52[[#This Row],[IT]]/Table52[[#This Row],[plot]]</f>
        <v>10.36</v>
      </c>
      <c r="T12">
        <f>Table52[[#This Row],[clock_time]]/60</f>
        <v>3.9128502166666671E-3</v>
      </c>
    </row>
    <row r="13" spans="1:20" ht="18" customHeight="1" x14ac:dyDescent="0.2">
      <c r="A13">
        <v>12</v>
      </c>
      <c r="B13" t="s">
        <v>12</v>
      </c>
      <c r="C13">
        <v>2</v>
      </c>
      <c r="D13" t="s">
        <v>13</v>
      </c>
      <c r="E13">
        <v>1000</v>
      </c>
      <c r="F13">
        <v>32</v>
      </c>
      <c r="G13">
        <f>1/Table52[[#This Row],[N]]</f>
        <v>3.125E-2</v>
      </c>
      <c r="H13">
        <f>Table52[[#This Row],[DX]]/1</f>
        <v>3.125E-2</v>
      </c>
      <c r="I13">
        <v>0.05</v>
      </c>
      <c r="J13">
        <f>1*Table52[[#This Row],[DT]]/Table52[[#This Row],[DX]]</f>
        <v>1.6</v>
      </c>
      <c r="L13">
        <v>-1</v>
      </c>
      <c r="N13">
        <v>857</v>
      </c>
      <c r="O13" s="1">
        <v>3.7937221499999998</v>
      </c>
      <c r="P13" t="s">
        <v>17</v>
      </c>
      <c r="Q13">
        <f>2.5/Table52[[#This Row],[DT]]</f>
        <v>50</v>
      </c>
      <c r="R13">
        <v>100</v>
      </c>
      <c r="S13">
        <f>Table52[[#This Row],[IT]]/Table52[[#This Row],[plot]]</f>
        <v>8.57</v>
      </c>
      <c r="T13">
        <f>Table52[[#This Row],[clock_time]]/60</f>
        <v>6.3228702499999997E-2</v>
      </c>
    </row>
    <row r="14" spans="1:20" ht="18" customHeight="1" x14ac:dyDescent="0.2">
      <c r="A14">
        <v>13</v>
      </c>
      <c r="B14" t="s">
        <v>12</v>
      </c>
      <c r="C14">
        <v>2</v>
      </c>
      <c r="D14" t="s">
        <v>13</v>
      </c>
      <c r="E14">
        <v>1000</v>
      </c>
      <c r="F14">
        <v>64</v>
      </c>
      <c r="G14">
        <f>1/Table52[[#This Row],[N]]</f>
        <v>1.5625E-2</v>
      </c>
      <c r="H14">
        <f>Table52[[#This Row],[DX]]/1</f>
        <v>1.5625E-2</v>
      </c>
      <c r="I14">
        <v>1.4999999999999999E-2</v>
      </c>
      <c r="J14">
        <f>1*Table52[[#This Row],[DT]]/Table52[[#This Row],[DX]]</f>
        <v>0.96</v>
      </c>
      <c r="L14">
        <v>-1</v>
      </c>
      <c r="M14" s="1"/>
      <c r="N14" s="1">
        <v>332</v>
      </c>
      <c r="O14" s="1">
        <v>43.591610000000003</v>
      </c>
      <c r="P14" t="s">
        <v>18</v>
      </c>
      <c r="Q14">
        <f>2.5/Table52[[#This Row],[DT]]</f>
        <v>166.66666666666669</v>
      </c>
      <c r="R14">
        <v>250</v>
      </c>
      <c r="S14">
        <f>Table52[[#This Row],[IT]]/Table52[[#This Row],[plot]]</f>
        <v>1.3280000000000001</v>
      </c>
      <c r="T14">
        <f>Table52[[#This Row],[clock_time]]/60</f>
        <v>0.72652683333333334</v>
      </c>
    </row>
    <row r="15" spans="1:20" x14ac:dyDescent="0.2">
      <c r="A15">
        <v>14</v>
      </c>
      <c r="B15" t="s">
        <v>12</v>
      </c>
      <c r="C15">
        <v>2</v>
      </c>
      <c r="D15" t="s">
        <v>13</v>
      </c>
      <c r="E15">
        <v>1000</v>
      </c>
      <c r="F15">
        <v>128</v>
      </c>
      <c r="G15">
        <f>1/Table52[[#This Row],[N]]</f>
        <v>7.8125E-3</v>
      </c>
      <c r="H15">
        <f>Table52[[#This Row],[DX]]/1</f>
        <v>7.8125E-3</v>
      </c>
      <c r="I15">
        <v>5.0000000000000001E-3</v>
      </c>
      <c r="J15">
        <f>1*Table52[[#This Row],[DT]]/Table52[[#This Row],[DX]]</f>
        <v>0.64</v>
      </c>
      <c r="L15">
        <v>-1</v>
      </c>
      <c r="N15">
        <v>11952</v>
      </c>
      <c r="O15" s="1">
        <v>392.12469499999997</v>
      </c>
      <c r="P15" t="s">
        <v>18</v>
      </c>
      <c r="Q15">
        <f>2.5/Table52[[#This Row],[DT]]</f>
        <v>500</v>
      </c>
      <c r="R15">
        <v>1000</v>
      </c>
      <c r="S15">
        <f>Table52[[#This Row],[IT]]/Table52[[#This Row],[plot]]</f>
        <v>11.952</v>
      </c>
      <c r="T15">
        <f>Table52[[#This Row],[clock_time]]/60</f>
        <v>6.5354115833333326</v>
      </c>
    </row>
    <row r="16" spans="1:20" s="13" customFormat="1" ht="17" thickBot="1" x14ac:dyDescent="0.25">
      <c r="A16" s="13">
        <v>15</v>
      </c>
      <c r="B16" s="13" t="s">
        <v>12</v>
      </c>
      <c r="C16" s="13">
        <v>2</v>
      </c>
      <c r="D16" s="13" t="s">
        <v>13</v>
      </c>
      <c r="E16" s="13">
        <v>1000</v>
      </c>
      <c r="F16" s="13">
        <v>256</v>
      </c>
      <c r="G16" s="13">
        <f>1/Table52[[#This Row],[N]]</f>
        <v>3.90625E-3</v>
      </c>
      <c r="H16" s="13">
        <f>Table52[[#This Row],[DX]]/1</f>
        <v>3.90625E-3</v>
      </c>
      <c r="J16" s="13">
        <f>1*Table52[[#This Row],[DT]]/Table52[[#This Row],[DX]]</f>
        <v>0</v>
      </c>
      <c r="L16" s="13">
        <v>-1</v>
      </c>
      <c r="O16" s="14"/>
      <c r="P16" s="13" t="s">
        <v>18</v>
      </c>
      <c r="Q16" s="13" t="e">
        <f>2.5/Table52[[#This Row],[DT]]</f>
        <v>#DIV/0!</v>
      </c>
      <c r="R16">
        <v>5000</v>
      </c>
      <c r="S16" s="13">
        <f>Table52[[#This Row],[IT]]/Table52[[#This Row],[plot]]</f>
        <v>0</v>
      </c>
      <c r="T16" s="13">
        <f>Table52[[#This Row],[clock_time]]/60</f>
        <v>0</v>
      </c>
    </row>
    <row r="17" spans="1:20" x14ac:dyDescent="0.2">
      <c r="A17">
        <v>16</v>
      </c>
      <c r="B17" t="s">
        <v>12</v>
      </c>
      <c r="C17">
        <v>1</v>
      </c>
      <c r="D17" t="s">
        <v>16</v>
      </c>
      <c r="E17">
        <v>1000</v>
      </c>
      <c r="F17">
        <v>64</v>
      </c>
      <c r="G17">
        <f>1/Table52[[#This Row],[N]]</f>
        <v>1.5625E-2</v>
      </c>
      <c r="H17">
        <f>Table52[[#This Row],[DX]]/1</f>
        <v>1.5625E-2</v>
      </c>
      <c r="I17">
        <v>1.4999999999999999E-2</v>
      </c>
      <c r="J17">
        <f>1*Table52[[#This Row],[DT]]/Table52[[#This Row],[DX]]</f>
        <v>0.96</v>
      </c>
      <c r="M17" s="1"/>
      <c r="N17" s="1">
        <v>4202</v>
      </c>
      <c r="O17" s="1">
        <v>64.518783600000006</v>
      </c>
      <c r="Q17">
        <f>2.5/Table52[[#This Row],[DT]]</f>
        <v>166.66666666666669</v>
      </c>
      <c r="R17">
        <v>500</v>
      </c>
      <c r="S17">
        <f>Table52[[#This Row],[IT]]/Table52[[#This Row],[plot]]</f>
        <v>8.4039999999999999</v>
      </c>
      <c r="T17">
        <f>Table52[[#This Row],[clock_time]]/60</f>
        <v>1.07531306</v>
      </c>
    </row>
    <row r="18" spans="1:20" x14ac:dyDescent="0.2">
      <c r="A18">
        <v>17</v>
      </c>
      <c r="B18" t="s">
        <v>12</v>
      </c>
      <c r="C18">
        <v>1</v>
      </c>
      <c r="D18" t="s">
        <v>16</v>
      </c>
      <c r="E18">
        <v>1000</v>
      </c>
      <c r="F18">
        <v>64</v>
      </c>
      <c r="G18">
        <f>1/Table52[[#This Row],[N]]</f>
        <v>1.5625E-2</v>
      </c>
      <c r="H18">
        <f>Table52[[#This Row],[DX]]/1</f>
        <v>1.5625E-2</v>
      </c>
      <c r="I18">
        <v>0.01</v>
      </c>
      <c r="J18">
        <f>1*Table52[[#This Row],[DT]]/Table52[[#This Row],[DX]]</f>
        <v>0.64</v>
      </c>
      <c r="M18" s="1"/>
      <c r="N18" s="1">
        <v>5552</v>
      </c>
      <c r="O18" s="1">
        <v>48.560310399999999</v>
      </c>
      <c r="Q18">
        <f>2.5/Table52[[#This Row],[DT]]</f>
        <v>250</v>
      </c>
      <c r="R18">
        <v>750</v>
      </c>
      <c r="S18">
        <f>Table52[[#This Row],[IT]]/Table52[[#This Row],[plot]]</f>
        <v>7.4026666666666667</v>
      </c>
      <c r="T18">
        <f>Table52[[#This Row],[clock_time]]/60</f>
        <v>0.80933850666666662</v>
      </c>
    </row>
    <row r="19" spans="1:20" x14ac:dyDescent="0.2">
      <c r="A19">
        <v>18</v>
      </c>
      <c r="B19" t="s">
        <v>12</v>
      </c>
      <c r="C19">
        <v>1</v>
      </c>
      <c r="D19" t="s">
        <v>16</v>
      </c>
      <c r="E19">
        <v>1000</v>
      </c>
      <c r="F19">
        <v>64</v>
      </c>
      <c r="G19">
        <f>1/Table52[[#This Row],[N]]</f>
        <v>1.5625E-2</v>
      </c>
      <c r="H19">
        <f>Table52[[#This Row],[DX]]/1</f>
        <v>1.5625E-2</v>
      </c>
      <c r="I19">
        <v>5.0000000000000001E-3</v>
      </c>
      <c r="J19">
        <f>1*Table52[[#This Row],[DT]]/Table52[[#This Row],[DX]]</f>
        <v>0.32</v>
      </c>
      <c r="M19" s="1"/>
      <c r="N19" s="1">
        <v>9328</v>
      </c>
      <c r="O19" s="1">
        <v>34.663536100000002</v>
      </c>
      <c r="Q19">
        <f>2.5/Table52[[#This Row],[DT]]</f>
        <v>500</v>
      </c>
      <c r="R19">
        <v>1000</v>
      </c>
      <c r="S19">
        <f>Table52[[#This Row],[IT]]/Table52[[#This Row],[plot]]</f>
        <v>9.3279999999999994</v>
      </c>
      <c r="T19">
        <f>Table52[[#This Row],[clock_time]]/60</f>
        <v>0.57772560166666664</v>
      </c>
    </row>
    <row r="20" spans="1:20" x14ac:dyDescent="0.2">
      <c r="A20">
        <v>19</v>
      </c>
      <c r="B20" t="s">
        <v>12</v>
      </c>
      <c r="C20">
        <v>1</v>
      </c>
      <c r="D20" t="s">
        <v>16</v>
      </c>
      <c r="E20">
        <v>1000</v>
      </c>
      <c r="F20">
        <v>64</v>
      </c>
      <c r="G20">
        <f>1/Table52[[#This Row],[N]]</f>
        <v>1.5625E-2</v>
      </c>
      <c r="H20">
        <f>Table52[[#This Row],[DX]]/1</f>
        <v>1.5625E-2</v>
      </c>
      <c r="I20">
        <v>1E-3</v>
      </c>
      <c r="J20">
        <f>1*Table52[[#This Row],[DT]]/Table52[[#This Row],[DX]]</f>
        <v>6.4000000000000001E-2</v>
      </c>
      <c r="M20" s="1"/>
      <c r="N20" s="1">
        <v>35260</v>
      </c>
      <c r="O20" s="1">
        <v>47.817623099999999</v>
      </c>
      <c r="Q20">
        <f>2.5/Table52[[#This Row],[DT]]</f>
        <v>2500</v>
      </c>
      <c r="R20">
        <v>5000</v>
      </c>
      <c r="S20">
        <f>Table52[[#This Row],[IT]]/Table52[[#This Row],[plot]]</f>
        <v>7.0519999999999996</v>
      </c>
      <c r="T20">
        <f>Table52[[#This Row],[clock_time]]/60</f>
        <v>0.79696038499999999</v>
      </c>
    </row>
    <row r="21" spans="1:20" s="7" customFormat="1" ht="17" thickBot="1" x14ac:dyDescent="0.25">
      <c r="A21" s="7">
        <v>20</v>
      </c>
      <c r="B21" s="7" t="s">
        <v>12</v>
      </c>
      <c r="C21" s="7">
        <v>1</v>
      </c>
      <c r="D21" s="7" t="s">
        <v>16</v>
      </c>
      <c r="E21" s="7">
        <v>1000</v>
      </c>
      <c r="F21" s="7">
        <v>64</v>
      </c>
      <c r="G21" s="7">
        <f>1/Table52[[#This Row],[N]]</f>
        <v>1.5625E-2</v>
      </c>
      <c r="H21" s="7">
        <f>Table52[[#This Row],[DX]]/1</f>
        <v>1.5625E-2</v>
      </c>
      <c r="I21" s="7">
        <v>5.0000000000000001E-4</v>
      </c>
      <c r="J21" s="7">
        <f>1*Table52[[#This Row],[DT]]/Table52[[#This Row],[DX]]</f>
        <v>3.2000000000000001E-2</v>
      </c>
      <c r="M21" s="8"/>
      <c r="N21" s="8">
        <v>63517</v>
      </c>
      <c r="O21" s="8">
        <v>76.141212499999995</v>
      </c>
      <c r="Q21">
        <f>2.5/Table52[[#This Row],[DT]]</f>
        <v>5000</v>
      </c>
      <c r="R21" s="7">
        <v>15000</v>
      </c>
      <c r="S21" s="7">
        <f>Table52[[#This Row],[IT]]/Table52[[#This Row],[plot]]</f>
        <v>4.234466666666667</v>
      </c>
      <c r="T21" s="7">
        <f>Table52[[#This Row],[clock_time]]/60</f>
        <v>1.2690202083333333</v>
      </c>
    </row>
    <row r="22" spans="1:20" x14ac:dyDescent="0.2">
      <c r="A22">
        <v>21</v>
      </c>
      <c r="B22" t="s">
        <v>12</v>
      </c>
      <c r="C22">
        <v>2</v>
      </c>
      <c r="D22" t="s">
        <v>16</v>
      </c>
      <c r="E22">
        <v>1000</v>
      </c>
      <c r="F22">
        <v>64</v>
      </c>
      <c r="G22">
        <f>1/Table52[[#This Row],[N]]</f>
        <v>1.5625E-2</v>
      </c>
      <c r="H22">
        <f>Table52[[#This Row],[DX]]/1</f>
        <v>1.5625E-2</v>
      </c>
      <c r="I22">
        <v>1.4999999999999999E-2</v>
      </c>
      <c r="J22">
        <f>1*Table52[[#This Row],[DT]]/Table52[[#This Row],[DX]]</f>
        <v>0.96</v>
      </c>
      <c r="M22" s="1"/>
      <c r="N22" s="1">
        <v>4190</v>
      </c>
      <c r="O22" s="1">
        <v>58.056365999999997</v>
      </c>
      <c r="Q22">
        <f>2.5/Table52[[#This Row],[DT]]</f>
        <v>166.66666666666669</v>
      </c>
      <c r="R22">
        <v>500</v>
      </c>
      <c r="S22">
        <f>Table52[[#This Row],[IT]]/Table52[[#This Row],[plot]]</f>
        <v>8.3800000000000008</v>
      </c>
      <c r="T22">
        <f>Table52[[#This Row],[clock_time]]/60</f>
        <v>0.96760609999999991</v>
      </c>
    </row>
    <row r="23" spans="1:20" x14ac:dyDescent="0.2">
      <c r="A23">
        <v>22</v>
      </c>
      <c r="B23" t="s">
        <v>12</v>
      </c>
      <c r="C23">
        <v>2</v>
      </c>
      <c r="D23" t="s">
        <v>16</v>
      </c>
      <c r="E23">
        <v>1000</v>
      </c>
      <c r="F23">
        <v>64</v>
      </c>
      <c r="G23">
        <f>1/Table52[[#This Row],[N]]</f>
        <v>1.5625E-2</v>
      </c>
      <c r="H23">
        <f>Table52[[#This Row],[DX]]/1</f>
        <v>1.5625E-2</v>
      </c>
      <c r="I23">
        <v>0.01</v>
      </c>
      <c r="J23">
        <f>1*Table52[[#This Row],[DT]]/Table52[[#This Row],[DX]]</f>
        <v>0.64</v>
      </c>
      <c r="M23" s="1"/>
      <c r="N23" s="1">
        <v>5551</v>
      </c>
      <c r="O23" s="1">
        <v>49.9791794</v>
      </c>
      <c r="Q23">
        <f>2.5/Table52[[#This Row],[DT]]</f>
        <v>250</v>
      </c>
      <c r="R23">
        <v>750</v>
      </c>
      <c r="S23">
        <f>Table52[[#This Row],[IT]]/Table52[[#This Row],[plot]]</f>
        <v>7.4013333333333335</v>
      </c>
      <c r="T23">
        <f>Table52[[#This Row],[clock_time]]/60</f>
        <v>0.83298632333333333</v>
      </c>
    </row>
    <row r="24" spans="1:20" x14ac:dyDescent="0.2">
      <c r="A24">
        <v>23</v>
      </c>
      <c r="B24" t="s">
        <v>12</v>
      </c>
      <c r="C24">
        <v>2</v>
      </c>
      <c r="D24" t="s">
        <v>16</v>
      </c>
      <c r="E24">
        <v>1000</v>
      </c>
      <c r="F24">
        <v>64</v>
      </c>
      <c r="G24">
        <f>1/Table52[[#This Row],[N]]</f>
        <v>1.5625E-2</v>
      </c>
      <c r="H24">
        <f>Table52[[#This Row],[DX]]/1</f>
        <v>1.5625E-2</v>
      </c>
      <c r="I24">
        <v>5.0000000000000001E-3</v>
      </c>
      <c r="J24">
        <f>1*Table52[[#This Row],[DT]]/Table52[[#This Row],[DX]]</f>
        <v>0.32</v>
      </c>
      <c r="M24" s="1"/>
      <c r="N24" s="1">
        <v>9339</v>
      </c>
      <c r="O24" s="1">
        <v>35.158287000000001</v>
      </c>
      <c r="Q24">
        <f>2.5/Table52[[#This Row],[DT]]</f>
        <v>500</v>
      </c>
      <c r="R24">
        <v>1000</v>
      </c>
      <c r="S24">
        <f>Table52[[#This Row],[IT]]/Table52[[#This Row],[plot]]</f>
        <v>9.3390000000000004</v>
      </c>
      <c r="T24">
        <f>Table52[[#This Row],[clock_time]]/60</f>
        <v>0.58597145000000006</v>
      </c>
    </row>
    <row r="25" spans="1:20" x14ac:dyDescent="0.2">
      <c r="A25">
        <v>24</v>
      </c>
      <c r="B25" t="s">
        <v>12</v>
      </c>
      <c r="C25">
        <v>2</v>
      </c>
      <c r="D25" t="s">
        <v>16</v>
      </c>
      <c r="E25">
        <v>1000</v>
      </c>
      <c r="F25">
        <v>64</v>
      </c>
      <c r="G25">
        <f>1/Table52[[#This Row],[N]]</f>
        <v>1.5625E-2</v>
      </c>
      <c r="H25">
        <f>Table52[[#This Row],[DX]]/1</f>
        <v>1.5625E-2</v>
      </c>
      <c r="I25">
        <v>1E-3</v>
      </c>
      <c r="J25">
        <f>1*Table52[[#This Row],[DT]]/Table52[[#This Row],[DX]]</f>
        <v>6.4000000000000001E-2</v>
      </c>
      <c r="M25" s="1"/>
      <c r="N25" s="1">
        <v>35262</v>
      </c>
      <c r="O25" s="1">
        <v>46.530872299999999</v>
      </c>
      <c r="Q25">
        <f>2.5/Table52[[#This Row],[DT]]</f>
        <v>2500</v>
      </c>
      <c r="R25">
        <v>5000</v>
      </c>
      <c r="S25">
        <f>Table52[[#This Row],[IT]]/Table52[[#This Row],[plot]]</f>
        <v>7.0523999999999996</v>
      </c>
      <c r="T25">
        <f>Table52[[#This Row],[clock_time]]/60</f>
        <v>0.77551453833333328</v>
      </c>
    </row>
    <row r="26" spans="1:20" ht="17" thickBot="1" x14ac:dyDescent="0.25">
      <c r="A26">
        <v>25</v>
      </c>
      <c r="B26" t="s">
        <v>12</v>
      </c>
      <c r="C26">
        <v>2</v>
      </c>
      <c r="D26" t="s">
        <v>16</v>
      </c>
      <c r="E26">
        <v>1000</v>
      </c>
      <c r="F26">
        <v>64</v>
      </c>
      <c r="G26">
        <f>1/Table52[[#This Row],[N]]</f>
        <v>1.5625E-2</v>
      </c>
      <c r="H26">
        <f>Table52[[#This Row],[DX]]/1</f>
        <v>1.5625E-2</v>
      </c>
      <c r="I26" s="7">
        <v>5.0000000000000001E-4</v>
      </c>
      <c r="J26">
        <f>1*Table52[[#This Row],[DT]]/Table52[[#This Row],[DX]]</f>
        <v>3.2000000000000001E-2</v>
      </c>
      <c r="M26" s="1"/>
      <c r="N26" s="1">
        <v>63500</v>
      </c>
      <c r="O26" s="1">
        <v>77.783943199999996</v>
      </c>
      <c r="Q26">
        <f>2.5/Table52[[#This Row],[DT]]</f>
        <v>5000</v>
      </c>
      <c r="R26" s="7">
        <v>15000</v>
      </c>
      <c r="S26">
        <f>Table52[[#This Row],[IT]]/Table52[[#This Row],[plot]]</f>
        <v>4.2333333333333334</v>
      </c>
      <c r="T26">
        <f>Table52[[#This Row],[clock_time]]/60</f>
        <v>1.2963990533333332</v>
      </c>
    </row>
    <row r="27" spans="1:20" s="18" customFormat="1" x14ac:dyDescent="0.2">
      <c r="A27" s="18">
        <v>26</v>
      </c>
      <c r="B27" s="18" t="s">
        <v>19</v>
      </c>
      <c r="C27" s="18">
        <v>-1</v>
      </c>
      <c r="D27" s="18" t="s">
        <v>13</v>
      </c>
      <c r="E27" s="18">
        <v>1000</v>
      </c>
      <c r="F27" s="18">
        <v>16</v>
      </c>
      <c r="G27" s="18">
        <f>1/Table52[[#This Row],[N]]</f>
        <v>6.25E-2</v>
      </c>
      <c r="H27" s="19">
        <v>-1</v>
      </c>
      <c r="I27" s="19">
        <v>-1</v>
      </c>
      <c r="J27" s="19">
        <v>-1</v>
      </c>
      <c r="K27" s="21">
        <v>0.3</v>
      </c>
      <c r="L27" s="18">
        <v>0.85</v>
      </c>
      <c r="N27" s="18">
        <v>294</v>
      </c>
      <c r="O27" s="20">
        <v>7.18609989E-2</v>
      </c>
      <c r="P27" s="18" t="s">
        <v>18</v>
      </c>
      <c r="Q27" s="18">
        <f>2.5/Table52[[#This Row],[DT]]</f>
        <v>-2.5</v>
      </c>
      <c r="S27" s="18" t="e">
        <f>Table52[[#This Row],[IT]]/Table52[[#This Row],[plot]]</f>
        <v>#DIV/0!</v>
      </c>
      <c r="T27" s="18">
        <f>Table52[[#This Row],[clock_time]]/60</f>
        <v>1.197683315E-3</v>
      </c>
    </row>
    <row r="28" spans="1:20" s="18" customFormat="1" x14ac:dyDescent="0.2">
      <c r="A28" s="18">
        <v>27</v>
      </c>
      <c r="B28" s="18" t="s">
        <v>19</v>
      </c>
      <c r="C28" s="18">
        <v>-1</v>
      </c>
      <c r="D28" s="18" t="s">
        <v>13</v>
      </c>
      <c r="E28" s="18">
        <v>1000</v>
      </c>
      <c r="F28" s="18">
        <v>32</v>
      </c>
      <c r="G28" s="18">
        <f>1/Table52[[#This Row],[N]]</f>
        <v>3.125E-2</v>
      </c>
      <c r="H28" s="19">
        <v>-1</v>
      </c>
      <c r="I28" s="19">
        <v>-1</v>
      </c>
      <c r="J28" s="19">
        <v>-1</v>
      </c>
      <c r="K28" s="21">
        <v>0.3</v>
      </c>
      <c r="L28" s="18">
        <v>0.75</v>
      </c>
      <c r="M28" s="20"/>
      <c r="N28" s="20">
        <v>460</v>
      </c>
      <c r="O28" s="18">
        <v>0.33705398399999997</v>
      </c>
      <c r="Q28" s="18">
        <f>2.5/Table52[[#This Row],[DT]]</f>
        <v>-2.5</v>
      </c>
      <c r="S28" s="18" t="e">
        <f>Table52[[#This Row],[IT]]/Table52[[#This Row],[plot]]</f>
        <v>#DIV/0!</v>
      </c>
      <c r="T28" s="18">
        <f>Table52[[#This Row],[clock_time]]/60</f>
        <v>5.6175663999999993E-3</v>
      </c>
    </row>
    <row r="29" spans="1:20" s="18" customFormat="1" x14ac:dyDescent="0.2">
      <c r="A29" s="18">
        <v>28</v>
      </c>
      <c r="B29" s="18" t="s">
        <v>19</v>
      </c>
      <c r="C29" s="18">
        <v>-1</v>
      </c>
      <c r="D29" s="18" t="s">
        <v>13</v>
      </c>
      <c r="E29" s="18">
        <v>1000</v>
      </c>
      <c r="F29" s="18">
        <v>64</v>
      </c>
      <c r="G29" s="18">
        <f>1/Table52[[#This Row],[N]]</f>
        <v>1.5625E-2</v>
      </c>
      <c r="H29" s="19">
        <v>-1</v>
      </c>
      <c r="I29" s="19">
        <v>-1</v>
      </c>
      <c r="J29" s="19">
        <v>-1</v>
      </c>
      <c r="K29" s="21">
        <v>0.3</v>
      </c>
      <c r="L29" s="18">
        <v>0.78</v>
      </c>
      <c r="M29" s="20"/>
      <c r="N29" s="20">
        <v>1279</v>
      </c>
      <c r="O29" s="18">
        <v>3.5678272199999999</v>
      </c>
      <c r="Q29" s="18">
        <f>2.5/Table52[[#This Row],[DT]]</f>
        <v>-2.5</v>
      </c>
      <c r="S29" s="18" t="e">
        <f>Table52[[#This Row],[IT]]/Table52[[#This Row],[plot]]</f>
        <v>#DIV/0!</v>
      </c>
      <c r="T29" s="18">
        <f>Table52[[#This Row],[clock_time]]/60</f>
        <v>5.9463786999999997E-2</v>
      </c>
    </row>
    <row r="30" spans="1:20" s="18" customFormat="1" x14ac:dyDescent="0.2">
      <c r="A30" s="18">
        <v>29</v>
      </c>
      <c r="B30" s="18" t="s">
        <v>19</v>
      </c>
      <c r="C30" s="18">
        <v>-1</v>
      </c>
      <c r="D30" s="18" t="s">
        <v>13</v>
      </c>
      <c r="E30" s="18">
        <v>1000</v>
      </c>
      <c r="F30" s="18">
        <v>128</v>
      </c>
      <c r="G30" s="18">
        <f>1/Table52[[#This Row],[N]]</f>
        <v>7.8125E-3</v>
      </c>
      <c r="H30" s="19">
        <v>-1</v>
      </c>
      <c r="I30" s="19">
        <v>-1</v>
      </c>
      <c r="J30" s="19">
        <v>-1</v>
      </c>
      <c r="K30" s="21">
        <v>0.3</v>
      </c>
      <c r="L30" s="18">
        <v>0.99</v>
      </c>
      <c r="M30" s="20"/>
      <c r="N30" s="20">
        <v>1882</v>
      </c>
      <c r="O30" s="18">
        <v>20.745883899999999</v>
      </c>
      <c r="Q30" s="18">
        <f>2.5/Table52[[#This Row],[DT]]</f>
        <v>-2.5</v>
      </c>
      <c r="S30" s="18" t="e">
        <f>Table52[[#This Row],[IT]]/Table52[[#This Row],[plot]]</f>
        <v>#DIV/0!</v>
      </c>
      <c r="T30" s="18">
        <f>Table52[[#This Row],[clock_time]]/60</f>
        <v>0.34576473166666666</v>
      </c>
    </row>
    <row r="31" spans="1:20" s="22" customFormat="1" ht="17" thickBot="1" x14ac:dyDescent="0.25">
      <c r="A31" s="22">
        <v>30</v>
      </c>
      <c r="B31" s="22" t="s">
        <v>19</v>
      </c>
      <c r="C31" s="22">
        <v>-1</v>
      </c>
      <c r="D31" s="22" t="s">
        <v>13</v>
      </c>
      <c r="E31" s="22">
        <v>1000</v>
      </c>
      <c r="F31" s="22">
        <v>256</v>
      </c>
      <c r="G31" s="22">
        <f>1/Table52[[#This Row],[N]]</f>
        <v>3.90625E-3</v>
      </c>
      <c r="H31" s="23">
        <v>-1</v>
      </c>
      <c r="I31" s="23">
        <v>-1</v>
      </c>
      <c r="J31" s="23">
        <v>-1</v>
      </c>
      <c r="K31" s="24">
        <v>0.3</v>
      </c>
      <c r="L31" s="22">
        <v>0.7</v>
      </c>
      <c r="M31" s="25"/>
      <c r="N31" s="25">
        <v>7290</v>
      </c>
      <c r="O31" s="22">
        <v>421.73425300000002</v>
      </c>
      <c r="Q31" s="22">
        <f>2.5/Table52[[#This Row],[DT]]</f>
        <v>-2.5</v>
      </c>
      <c r="S31" s="22" t="e">
        <f>Table52[[#This Row],[IT]]/Table52[[#This Row],[plot]]</f>
        <v>#DIV/0!</v>
      </c>
      <c r="T31" s="22">
        <f>Table52[[#This Row],[clock_time]]/60</f>
        <v>7.0289042166666666</v>
      </c>
    </row>
    <row r="32" spans="1:20" s="15" customFormat="1" x14ac:dyDescent="0.2">
      <c r="A32" s="15">
        <v>31</v>
      </c>
      <c r="B32" s="15" t="s">
        <v>12</v>
      </c>
      <c r="C32" s="15">
        <v>1</v>
      </c>
      <c r="D32" s="15" t="s">
        <v>13</v>
      </c>
      <c r="E32" s="15">
        <v>1000</v>
      </c>
      <c r="F32" s="15">
        <v>64</v>
      </c>
      <c r="G32" s="15">
        <f>1/Table52[[#This Row],[N]]</f>
        <v>1.5625E-2</v>
      </c>
      <c r="H32" s="26">
        <v>-1</v>
      </c>
      <c r="I32" s="15">
        <v>1.7000000000000001E-2</v>
      </c>
      <c r="J32" s="26">
        <f>Table52[[#This Row],[DT]]/Table52[[#This Row],[DX]]</f>
        <v>1.0880000000000001</v>
      </c>
      <c r="K32" s="26">
        <v>-1</v>
      </c>
      <c r="L32" s="26">
        <v>-1</v>
      </c>
      <c r="M32" s="15">
        <v>1.7999999999999999E-2</v>
      </c>
      <c r="N32" s="16">
        <v>4500</v>
      </c>
      <c r="O32" s="15">
        <v>152.18124399999999</v>
      </c>
      <c r="Q32" s="15">
        <f>2.5/Table52[[#This Row],[DT]]</f>
        <v>147.05882352941177</v>
      </c>
      <c r="R32" s="15">
        <v>1000</v>
      </c>
      <c r="S32" s="15">
        <f>Table52[[#This Row],[IT]]/Table52[[#This Row],[plot]]</f>
        <v>4.5</v>
      </c>
      <c r="T32" s="15">
        <f>Table52[[#This Row],[clock_time]]/60</f>
        <v>2.5363540666666666</v>
      </c>
    </row>
    <row r="33" spans="1:20" s="15" customFormat="1" x14ac:dyDescent="0.2">
      <c r="A33" s="15">
        <v>32</v>
      </c>
      <c r="B33" s="15" t="s">
        <v>12</v>
      </c>
      <c r="C33" s="15">
        <v>1</v>
      </c>
      <c r="D33" s="15" t="s">
        <v>13</v>
      </c>
      <c r="E33" s="15">
        <v>1000</v>
      </c>
      <c r="F33" s="15">
        <v>64</v>
      </c>
      <c r="G33" s="15">
        <f>1/Table52[[#This Row],[N]]</f>
        <v>1.5625E-2</v>
      </c>
      <c r="H33" s="17">
        <v>-1</v>
      </c>
      <c r="I33" s="15">
        <v>1E-3</v>
      </c>
      <c r="J33" s="26">
        <f>Table52[[#This Row],[DT]]/Table52[[#This Row],[DX]]</f>
        <v>6.4000000000000001E-2</v>
      </c>
      <c r="K33" s="17">
        <v>-1</v>
      </c>
      <c r="L33" s="17">
        <v>-1</v>
      </c>
      <c r="M33" s="16"/>
      <c r="N33" s="16">
        <v>4530</v>
      </c>
      <c r="O33" s="15">
        <v>113.157005</v>
      </c>
      <c r="Q33" s="15">
        <f>2.5/Table52[[#This Row],[DT]]</f>
        <v>2500</v>
      </c>
      <c r="S33" s="15" t="e">
        <f>Table52[[#This Row],[IT]]/Table52[[#This Row],[plot]]</f>
        <v>#DIV/0!</v>
      </c>
      <c r="T33" s="15">
        <f>Table52[[#This Row],[clock_time]]/60</f>
        <v>1.8859500833333334</v>
      </c>
    </row>
    <row r="34" spans="1:20" s="15" customFormat="1" ht="15" customHeight="1" x14ac:dyDescent="0.2">
      <c r="A34" s="15">
        <v>33</v>
      </c>
      <c r="B34" s="15" t="s">
        <v>12</v>
      </c>
      <c r="C34" s="15">
        <v>1</v>
      </c>
      <c r="D34" s="15" t="s">
        <v>13</v>
      </c>
      <c r="E34" s="15">
        <v>1000</v>
      </c>
      <c r="F34" s="15">
        <v>64</v>
      </c>
      <c r="G34" s="15">
        <f>1/Table52[[#This Row],[N]]</f>
        <v>1.5625E-2</v>
      </c>
      <c r="H34" s="17">
        <v>-1</v>
      </c>
      <c r="I34" s="15">
        <v>5.0000000000000001E-3</v>
      </c>
      <c r="J34" s="26">
        <f>Table52[[#This Row],[DT]]/Table52[[#This Row],[DX]]</f>
        <v>0.32</v>
      </c>
      <c r="K34" s="17">
        <v>-1</v>
      </c>
      <c r="L34" s="17">
        <v>-1</v>
      </c>
      <c r="M34" s="16"/>
      <c r="N34" s="16">
        <v>8051</v>
      </c>
      <c r="O34" s="15">
        <v>77.035552999999993</v>
      </c>
      <c r="Q34" s="15">
        <f>2.5/Table52[[#This Row],[DT]]</f>
        <v>500</v>
      </c>
      <c r="S34" s="15" t="e">
        <f>Table52[[#This Row],[IT]]/Table52[[#This Row],[plot]]</f>
        <v>#DIV/0!</v>
      </c>
      <c r="T34" s="15">
        <f>Table52[[#This Row],[clock_time]]/60</f>
        <v>1.2839258833333331</v>
      </c>
    </row>
    <row r="35" spans="1:20" s="15" customFormat="1" x14ac:dyDescent="0.2">
      <c r="A35" s="15">
        <v>34</v>
      </c>
      <c r="B35" s="15" t="s">
        <v>12</v>
      </c>
      <c r="C35" s="15">
        <v>1</v>
      </c>
      <c r="D35" s="15" t="s">
        <v>13</v>
      </c>
      <c r="E35" s="15">
        <v>1000</v>
      </c>
      <c r="F35" s="15">
        <v>64</v>
      </c>
      <c r="G35" s="15">
        <f>1/Table52[[#This Row],[N]]</f>
        <v>1.5625E-2</v>
      </c>
      <c r="H35" s="17">
        <v>-1</v>
      </c>
      <c r="I35" s="15">
        <v>0.01</v>
      </c>
      <c r="J35" s="26">
        <f>Table52[[#This Row],[DT]]/Table52[[#This Row],[DX]]</f>
        <v>0.64</v>
      </c>
      <c r="K35" s="17">
        <v>-1</v>
      </c>
      <c r="L35" s="17">
        <v>-1</v>
      </c>
      <c r="M35" s="16"/>
      <c r="N35" s="16">
        <v>4530</v>
      </c>
      <c r="O35" s="15">
        <v>113.239769</v>
      </c>
      <c r="Q35" s="15">
        <f>2.5/Table52[[#This Row],[DT]]</f>
        <v>250</v>
      </c>
      <c r="S35" s="15" t="e">
        <f>Table52[[#This Row],[IT]]/Table52[[#This Row],[plot]]</f>
        <v>#DIV/0!</v>
      </c>
      <c r="T35" s="15">
        <f>Table52[[#This Row],[clock_time]]/60</f>
        <v>1.8873294833333332</v>
      </c>
    </row>
    <row r="36" spans="1:20" s="15" customFormat="1" x14ac:dyDescent="0.2">
      <c r="A36" s="15">
        <v>35</v>
      </c>
      <c r="B36" s="15" t="s">
        <v>12</v>
      </c>
      <c r="C36" s="15">
        <v>1</v>
      </c>
      <c r="D36" s="15" t="s">
        <v>13</v>
      </c>
      <c r="E36" s="15">
        <v>1000</v>
      </c>
      <c r="F36" s="15">
        <v>64</v>
      </c>
      <c r="G36" s="15">
        <f>1/Table52[[#This Row],[N]]</f>
        <v>1.5625E-2</v>
      </c>
      <c r="H36" s="17">
        <v>-1</v>
      </c>
      <c r="I36" s="15">
        <v>5.0000000000000001E-4</v>
      </c>
      <c r="J36" s="26">
        <f>Table52[[#This Row],[DT]]/Table52[[#This Row],[DX]]</f>
        <v>3.2000000000000001E-2</v>
      </c>
      <c r="K36" s="17">
        <v>-1</v>
      </c>
      <c r="L36" s="17">
        <v>-1</v>
      </c>
      <c r="M36" s="16"/>
      <c r="N36" s="16">
        <v>53406</v>
      </c>
      <c r="O36" s="15">
        <v>74.7314911</v>
      </c>
      <c r="Q36" s="15">
        <f>2.5/Table52[[#This Row],[DT]]</f>
        <v>5000</v>
      </c>
      <c r="S36" s="15" t="e">
        <f>Table52[[#This Row],[IT]]/Table52[[#This Row],[plot]]</f>
        <v>#DIV/0!</v>
      </c>
      <c r="T36" s="15">
        <f>Table52[[#This Row],[clock_time]]/60</f>
        <v>1.2455248516666666</v>
      </c>
    </row>
    <row r="37" spans="1:20" s="27" customFormat="1" x14ac:dyDescent="0.2">
      <c r="A37" s="15">
        <v>36</v>
      </c>
      <c r="B37" s="15" t="s">
        <v>12</v>
      </c>
      <c r="C37" s="15">
        <v>1</v>
      </c>
      <c r="D37" s="15" t="s">
        <v>13</v>
      </c>
      <c r="E37" s="15">
        <v>1000</v>
      </c>
      <c r="F37" s="15">
        <v>64</v>
      </c>
      <c r="G37" s="28">
        <f>1/Table52[[#This Row],[N]]</f>
        <v>1.5625E-2</v>
      </c>
      <c r="H37" s="28">
        <v>-1</v>
      </c>
      <c r="I37" s="28">
        <v>7.5000000000000002E-4</v>
      </c>
      <c r="J37" s="28"/>
      <c r="K37" s="28"/>
      <c r="L37" s="28">
        <v>-1</v>
      </c>
      <c r="M37" s="28"/>
      <c r="N37" s="28">
        <v>38422</v>
      </c>
      <c r="O37" s="29">
        <v>59.427192699999999</v>
      </c>
      <c r="P37" s="28" t="s">
        <v>17</v>
      </c>
      <c r="Q37" s="30">
        <f>2.5/Table52[[#This Row],[DT]]</f>
        <v>3333.3333333333335</v>
      </c>
      <c r="R37" s="27">
        <v>5000</v>
      </c>
      <c r="S37" s="31">
        <f>Table52[[#This Row],[IT]]/Table52[[#This Row],[plot]]</f>
        <v>7.6844000000000001</v>
      </c>
      <c r="T37" s="31">
        <f>Table52[[#This Row],[clock_time]]/60</f>
        <v>0.99045321166666667</v>
      </c>
    </row>
    <row r="38" spans="1:20" x14ac:dyDescent="0.2">
      <c r="A38" s="15">
        <v>37</v>
      </c>
      <c r="B38" s="15" t="s">
        <v>12</v>
      </c>
      <c r="C38" s="15">
        <v>1</v>
      </c>
      <c r="D38" s="15" t="s">
        <v>13</v>
      </c>
      <c r="E38" s="15">
        <v>1000</v>
      </c>
      <c r="F38" s="15">
        <v>64</v>
      </c>
      <c r="G38">
        <f>1/Table52[[#This Row],[N]]</f>
        <v>1.5625E-2</v>
      </c>
      <c r="H38">
        <v>-1</v>
      </c>
      <c r="I38">
        <v>1.2500000000000001E-2</v>
      </c>
      <c r="J38">
        <f>1*Table52[[#This Row],[DT]]/Table52[[#This Row],[DX]]</f>
        <v>0.8</v>
      </c>
      <c r="L38">
        <v>-1</v>
      </c>
      <c r="M38" s="1"/>
      <c r="N38" s="1">
        <v>3717</v>
      </c>
      <c r="O38" s="1">
        <v>128.21608000000001</v>
      </c>
      <c r="P38" t="s">
        <v>18</v>
      </c>
      <c r="Q38">
        <f>2.5/Table52[[#This Row],[DT]]</f>
        <v>200</v>
      </c>
      <c r="S38" t="e">
        <f>Table52[[#This Row],[IT]]/Table52[[#This Row],[plot]]</f>
        <v>#DIV/0!</v>
      </c>
      <c r="T38">
        <f>Table52[[#This Row],[clock_time]]/60</f>
        <v>2.1369346666666669</v>
      </c>
    </row>
    <row r="39" spans="1:20" x14ac:dyDescent="0.2">
      <c r="A39" s="15">
        <v>38</v>
      </c>
      <c r="B39" s="15" t="s">
        <v>12</v>
      </c>
      <c r="C39" s="15">
        <v>1</v>
      </c>
      <c r="D39" s="15" t="s">
        <v>13</v>
      </c>
      <c r="E39" s="15">
        <v>1000</v>
      </c>
      <c r="F39" s="15">
        <v>64</v>
      </c>
      <c r="G39" s="32">
        <f>1/Table52[[#This Row],[N]]</f>
        <v>1.5625E-2</v>
      </c>
      <c r="H39" s="32">
        <f>Table52[[#This Row],[DX]]/1</f>
        <v>1.5625E-2</v>
      </c>
      <c r="I39">
        <v>7.4999999999999997E-3</v>
      </c>
      <c r="J39">
        <f>1*Table52[[#This Row],[DT]]/Table52[[#This Row],[DX]]</f>
        <v>0.48</v>
      </c>
      <c r="L39" s="18"/>
      <c r="M39" s="1"/>
      <c r="N39" s="1">
        <v>5759</v>
      </c>
      <c r="O39">
        <v>95.118499799999995</v>
      </c>
      <c r="Q39" s="32">
        <f>2.5/Table52[[#This Row],[DT]]</f>
        <v>333.33333333333337</v>
      </c>
      <c r="R39" s="32"/>
      <c r="S39" s="32" t="e">
        <f>Table52[[#This Row],[IT]]/Table52[[#This Row],[plot]]</f>
        <v>#DIV/0!</v>
      </c>
      <c r="T39" s="32">
        <f>Table52[[#This Row],[clock_time]]/60</f>
        <v>1.5853083299999999</v>
      </c>
    </row>
    <row r="40" spans="1:20" s="3" customFormat="1" ht="17" thickBot="1" x14ac:dyDescent="0.25">
      <c r="A40" s="33">
        <v>39</v>
      </c>
      <c r="B40" s="33" t="s">
        <v>12</v>
      </c>
      <c r="C40" s="33">
        <v>1</v>
      </c>
      <c r="D40" s="33" t="s">
        <v>13</v>
      </c>
      <c r="E40" s="33">
        <v>1000</v>
      </c>
      <c r="F40" s="33">
        <v>64</v>
      </c>
      <c r="G40" s="34">
        <f>1/Table52[[#This Row],[N]]</f>
        <v>1.5625E-2</v>
      </c>
      <c r="H40" s="34">
        <f>Table52[[#This Row],[DX]]/1</f>
        <v>1.5625E-2</v>
      </c>
      <c r="I40" s="3">
        <v>1.4999999999999999E-2</v>
      </c>
      <c r="J40" s="3">
        <f>1*Table52[[#This Row],[DT]]/Table52[[#This Row],[DX]]</f>
        <v>0.96</v>
      </c>
      <c r="L40" s="22"/>
      <c r="M40" s="4"/>
      <c r="N40" s="4">
        <v>3102</v>
      </c>
      <c r="O40" s="3">
        <v>140.86225899999999</v>
      </c>
      <c r="Q40" s="34">
        <f>2.5/Table52[[#This Row],[DT]]</f>
        <v>166.66666666666669</v>
      </c>
      <c r="R40" s="34"/>
      <c r="S40" s="34" t="e">
        <f>Table52[[#This Row],[IT]]/Table52[[#This Row],[plot]]</f>
        <v>#DIV/0!</v>
      </c>
      <c r="T40" s="34">
        <f>Table52[[#This Row],[clock_time]]/60</f>
        <v>2.3477043166666665</v>
      </c>
    </row>
    <row r="41" spans="1:20" s="15" customFormat="1" x14ac:dyDescent="0.2">
      <c r="A41" s="15">
        <v>40</v>
      </c>
      <c r="B41" s="15" t="s">
        <v>12</v>
      </c>
      <c r="C41" s="15">
        <v>1</v>
      </c>
      <c r="D41" s="15" t="s">
        <v>13</v>
      </c>
      <c r="E41" s="15">
        <v>1000</v>
      </c>
      <c r="F41" s="15">
        <v>64</v>
      </c>
      <c r="G41" s="35">
        <f>1/Table52[[#This Row],[N]]</f>
        <v>1.5625E-2</v>
      </c>
      <c r="H41" s="35">
        <f>Table52[[#This Row],[DX]]/1</f>
        <v>1.5625E-2</v>
      </c>
      <c r="I41" s="15">
        <f>Table52[[#This Row],[CFL]]*Table52[[#This Row],[DT_MAX]]</f>
        <v>1.5625E-4</v>
      </c>
      <c r="J41" s="15">
        <v>0.01</v>
      </c>
      <c r="M41" s="16"/>
      <c r="N41" s="16">
        <v>136659</v>
      </c>
      <c r="O41" s="15">
        <v>175.09970100000001</v>
      </c>
      <c r="Q41" s="35">
        <f>2.5/Table52[[#This Row],[DT]]</f>
        <v>16000</v>
      </c>
      <c r="R41" s="35"/>
      <c r="S41" s="35" t="e">
        <f>Table52[[#This Row],[IT]]/Table52[[#This Row],[plot]]</f>
        <v>#DIV/0!</v>
      </c>
      <c r="T41" s="35">
        <f>Table52[[#This Row],[clock_time]]/60</f>
        <v>2.9183283500000003</v>
      </c>
    </row>
    <row r="42" spans="1:20" s="15" customFormat="1" x14ac:dyDescent="0.2">
      <c r="A42" s="15">
        <v>41</v>
      </c>
      <c r="B42" s="15" t="s">
        <v>12</v>
      </c>
      <c r="C42" s="15">
        <v>1</v>
      </c>
      <c r="D42" s="15" t="s">
        <v>13</v>
      </c>
      <c r="E42" s="15">
        <v>1000</v>
      </c>
      <c r="F42" s="15">
        <v>64</v>
      </c>
      <c r="G42" s="35">
        <f>1/Table52[[#This Row],[N]]</f>
        <v>1.5625E-2</v>
      </c>
      <c r="H42" s="35">
        <f>Table52[[#This Row],[DX]]/1</f>
        <v>1.5625E-2</v>
      </c>
      <c r="I42" s="15">
        <f>Table52[[#This Row],[CFL]]*Table52[[#This Row],[DT_MAX]]</f>
        <v>7.8125000000000004E-4</v>
      </c>
      <c r="J42" s="15">
        <v>0.05</v>
      </c>
      <c r="M42" s="16"/>
      <c r="N42" s="16">
        <v>37155</v>
      </c>
      <c r="O42" s="15">
        <v>58.603294400000003</v>
      </c>
      <c r="Q42" s="35">
        <f>2.5/Table52[[#This Row],[DT]]</f>
        <v>3200</v>
      </c>
      <c r="R42" s="35"/>
      <c r="S42" s="35" t="e">
        <f>Table52[[#This Row],[IT]]/Table52[[#This Row],[plot]]</f>
        <v>#DIV/0!</v>
      </c>
      <c r="T42" s="35">
        <f>Table52[[#This Row],[clock_time]]/60</f>
        <v>0.97672157333333343</v>
      </c>
    </row>
    <row r="43" spans="1:20" s="15" customFormat="1" x14ac:dyDescent="0.2">
      <c r="A43" s="15">
        <v>42</v>
      </c>
      <c r="B43" s="15" t="s">
        <v>12</v>
      </c>
      <c r="C43" s="15">
        <v>1</v>
      </c>
      <c r="D43" s="15" t="s">
        <v>13</v>
      </c>
      <c r="E43" s="15">
        <v>1000</v>
      </c>
      <c r="F43" s="15">
        <v>64</v>
      </c>
      <c r="G43" s="35">
        <f>1/Table52[[#This Row],[N]]</f>
        <v>1.5625E-2</v>
      </c>
      <c r="H43" s="35">
        <f>Table52[[#This Row],[DX]]/1</f>
        <v>1.5625E-2</v>
      </c>
      <c r="I43" s="15">
        <f>Table52[[#This Row],[CFL]]*Table52[[#This Row],[DT_MAX]]</f>
        <v>3.1250000000000002E-3</v>
      </c>
      <c r="J43" s="35">
        <v>0.2</v>
      </c>
      <c r="M43" s="16"/>
      <c r="N43" s="16">
        <v>11825</v>
      </c>
      <c r="O43" s="15">
        <v>60.159965499999998</v>
      </c>
      <c r="Q43" s="35">
        <f>2.5/Table52[[#This Row],[DT]]</f>
        <v>800</v>
      </c>
      <c r="R43" s="35"/>
      <c r="S43" s="35" t="e">
        <f>Table52[[#This Row],[IT]]/Table52[[#This Row],[plot]]</f>
        <v>#DIV/0!</v>
      </c>
      <c r="T43" s="35">
        <f>Table52[[#This Row],[clock_time]]/60</f>
        <v>1.0026660916666665</v>
      </c>
    </row>
    <row r="44" spans="1:20" s="15" customFormat="1" x14ac:dyDescent="0.2">
      <c r="A44" s="15">
        <v>43</v>
      </c>
      <c r="B44" s="15" t="s">
        <v>12</v>
      </c>
      <c r="C44" s="15">
        <v>1</v>
      </c>
      <c r="D44" s="15" t="s">
        <v>13</v>
      </c>
      <c r="E44" s="15">
        <v>1000</v>
      </c>
      <c r="F44" s="15">
        <v>64</v>
      </c>
      <c r="G44" s="35">
        <f>1/Table52[[#This Row],[N]]</f>
        <v>1.5625E-2</v>
      </c>
      <c r="H44" s="35">
        <f>Table52[[#This Row],[DX]]/1</f>
        <v>1.5625E-2</v>
      </c>
      <c r="I44" s="15">
        <f>Table52[[#This Row],[CFL]]*Table52[[#This Row],[DT_MAX]]</f>
        <v>6.2500000000000003E-3</v>
      </c>
      <c r="J44" s="35">
        <v>0.4</v>
      </c>
      <c r="M44" s="16"/>
      <c r="N44" s="16">
        <v>6706</v>
      </c>
      <c r="O44" s="15">
        <v>87.384323100000003</v>
      </c>
      <c r="Q44" s="35">
        <f>2.5/Table52[[#This Row],[DT]]</f>
        <v>400</v>
      </c>
      <c r="R44" s="35"/>
      <c r="S44" s="35" t="e">
        <f>Table52[[#This Row],[IT]]/Table52[[#This Row],[plot]]</f>
        <v>#DIV/0!</v>
      </c>
      <c r="T44" s="35">
        <f>Table52[[#This Row],[clock_time]]/60</f>
        <v>1.4564053850000001</v>
      </c>
    </row>
    <row r="45" spans="1:20" s="15" customFormat="1" x14ac:dyDescent="0.2">
      <c r="A45" s="15">
        <v>44</v>
      </c>
      <c r="B45" s="15" t="s">
        <v>12</v>
      </c>
      <c r="C45" s="15">
        <v>1</v>
      </c>
      <c r="D45" s="15" t="s">
        <v>13</v>
      </c>
      <c r="E45" s="15">
        <v>1000</v>
      </c>
      <c r="F45" s="15">
        <v>64</v>
      </c>
      <c r="G45" s="35">
        <f>1/Table52[[#This Row],[N]]</f>
        <v>1.5625E-2</v>
      </c>
      <c r="H45" s="35">
        <f>Table52[[#This Row],[DX]]/1</f>
        <v>1.5625E-2</v>
      </c>
      <c r="I45" s="15">
        <f>Table52[[#This Row],[CFL]]*Table52[[#This Row],[DT_MAX]]</f>
        <v>7.8125E-3</v>
      </c>
      <c r="J45" s="35">
        <v>0.5</v>
      </c>
      <c r="M45" s="16"/>
      <c r="N45" s="16">
        <v>5560</v>
      </c>
      <c r="O45" s="15">
        <v>97.289329499999994</v>
      </c>
      <c r="Q45" s="35">
        <f>2.5/Table52[[#This Row],[DT]]</f>
        <v>320</v>
      </c>
      <c r="R45" s="35"/>
      <c r="S45" s="35" t="e">
        <f>Table52[[#This Row],[IT]]/Table52[[#This Row],[plot]]</f>
        <v>#DIV/0!</v>
      </c>
      <c r="T45" s="35">
        <f>Table52[[#This Row],[clock_time]]/60</f>
        <v>1.6214888249999999</v>
      </c>
    </row>
    <row r="46" spans="1:20" s="15" customFormat="1" x14ac:dyDescent="0.2">
      <c r="A46" s="15">
        <v>45</v>
      </c>
      <c r="B46" s="15" t="s">
        <v>12</v>
      </c>
      <c r="C46" s="15">
        <v>1</v>
      </c>
      <c r="D46" s="15" t="s">
        <v>13</v>
      </c>
      <c r="E46" s="15">
        <v>1000</v>
      </c>
      <c r="F46" s="15">
        <v>64</v>
      </c>
      <c r="G46" s="35">
        <f>1/Table52[[#This Row],[N]]</f>
        <v>1.5625E-2</v>
      </c>
      <c r="H46" s="35">
        <f>Table52[[#This Row],[DX]]/1</f>
        <v>1.5625E-2</v>
      </c>
      <c r="I46" s="15">
        <f>Table52[[#This Row],[CFL]]*Table52[[#This Row],[DT_MAX]]</f>
        <v>9.3749999999999997E-3</v>
      </c>
      <c r="J46" s="35">
        <v>0.6</v>
      </c>
      <c r="M46" s="16"/>
      <c r="N46" s="16">
        <v>4791</v>
      </c>
      <c r="O46" s="15">
        <v>107.397453</v>
      </c>
      <c r="Q46" s="35">
        <f>2.5/Table52[[#This Row],[DT]]</f>
        <v>266.66666666666669</v>
      </c>
      <c r="R46" s="35"/>
      <c r="S46" s="35" t="e">
        <f>Table52[[#This Row],[IT]]/Table52[[#This Row],[plot]]</f>
        <v>#DIV/0!</v>
      </c>
      <c r="T46" s="35">
        <f>Table52[[#This Row],[clock_time]]/60</f>
        <v>1.78995755</v>
      </c>
    </row>
    <row r="47" spans="1:20" s="15" customFormat="1" x14ac:dyDescent="0.2">
      <c r="A47" s="15">
        <v>46</v>
      </c>
      <c r="B47" s="15" t="s">
        <v>12</v>
      </c>
      <c r="C47" s="15">
        <v>1</v>
      </c>
      <c r="D47" s="15" t="s">
        <v>13</v>
      </c>
      <c r="E47" s="15">
        <v>1000</v>
      </c>
      <c r="F47" s="15">
        <v>64</v>
      </c>
      <c r="G47" s="35">
        <f>1/Table52[[#This Row],[N]]</f>
        <v>1.5625E-2</v>
      </c>
      <c r="H47" s="35">
        <f>Table52[[#This Row],[DX]]/1</f>
        <v>1.5625E-2</v>
      </c>
      <c r="I47" s="15">
        <f>Table52[[#This Row],[CFL]]*Table52[[#This Row],[DT_MAX]]</f>
        <v>1.2500000000000001E-2</v>
      </c>
      <c r="J47" s="35">
        <v>0.8</v>
      </c>
      <c r="M47" s="16"/>
      <c r="N47" s="16">
        <v>3717</v>
      </c>
      <c r="O47" s="15">
        <v>127.491776</v>
      </c>
      <c r="Q47" s="35">
        <f>2.5/Table52[[#This Row],[DT]]</f>
        <v>200</v>
      </c>
      <c r="R47" s="35"/>
      <c r="S47" s="35" t="e">
        <f>Table52[[#This Row],[IT]]/Table52[[#This Row],[plot]]</f>
        <v>#DIV/0!</v>
      </c>
      <c r="T47" s="35">
        <f>Table52[[#This Row],[clock_time]]/60</f>
        <v>2.1248629333333335</v>
      </c>
    </row>
    <row r="48" spans="1:20" s="33" customFormat="1" ht="17" thickBot="1" x14ac:dyDescent="0.25">
      <c r="A48" s="33">
        <v>47</v>
      </c>
      <c r="B48" s="33" t="s">
        <v>12</v>
      </c>
      <c r="C48" s="33">
        <v>1</v>
      </c>
      <c r="D48" s="33" t="s">
        <v>13</v>
      </c>
      <c r="E48" s="33">
        <v>1000</v>
      </c>
      <c r="F48" s="33">
        <v>64</v>
      </c>
      <c r="G48" s="36">
        <f>1/Table52[[#This Row],[N]]</f>
        <v>1.5625E-2</v>
      </c>
      <c r="H48" s="36">
        <f>Table52[[#This Row],[DX]]/1</f>
        <v>1.5625E-2</v>
      </c>
      <c r="I48" s="33">
        <f>Table52[[#This Row],[CFL]]*Table52[[#This Row],[DT_MAX]]</f>
        <v>1.5625E-2</v>
      </c>
      <c r="J48" s="36">
        <v>1</v>
      </c>
      <c r="M48" s="37"/>
      <c r="N48" s="37">
        <v>2987</v>
      </c>
      <c r="O48" s="33">
        <v>142.69487000000001</v>
      </c>
      <c r="Q48" s="36">
        <f>2.5/Table52[[#This Row],[DT]]</f>
        <v>160</v>
      </c>
      <c r="R48" s="36"/>
      <c r="S48" s="36" t="e">
        <f>Table52[[#This Row],[IT]]/Table52[[#This Row],[plot]]</f>
        <v>#DIV/0!</v>
      </c>
      <c r="T48" s="36">
        <f>Table52[[#This Row],[clock_time]]/60</f>
        <v>2.3782478333333334</v>
      </c>
    </row>
    <row r="49" spans="1:20" s="38" customFormat="1" x14ac:dyDescent="0.2">
      <c r="A49" s="38">
        <v>48</v>
      </c>
      <c r="B49" s="38" t="s">
        <v>12</v>
      </c>
      <c r="C49" s="38">
        <v>1</v>
      </c>
      <c r="D49" s="38" t="s">
        <v>13</v>
      </c>
      <c r="E49" s="38">
        <v>1000</v>
      </c>
      <c r="F49" s="38">
        <v>16</v>
      </c>
      <c r="G49" s="39">
        <f>1/Table52[[#This Row],[N]]</f>
        <v>6.25E-2</v>
      </c>
      <c r="H49" s="39">
        <f>Table52[[#This Row],[DX]]/1</f>
        <v>6.25E-2</v>
      </c>
      <c r="I49" s="38">
        <v>0.15</v>
      </c>
      <c r="J49" s="39">
        <f>1*Table52[[#This Row],[DT]]/Table52[[#This Row],[DX]]</f>
        <v>2.4</v>
      </c>
      <c r="M49" s="40"/>
      <c r="N49" s="40">
        <v>259</v>
      </c>
      <c r="O49" s="38">
        <v>0.729385018</v>
      </c>
      <c r="Q49" s="39">
        <f>2.5/Table52[[#This Row],[DT]]</f>
        <v>16.666666666666668</v>
      </c>
      <c r="R49" s="39"/>
      <c r="S49" s="39" t="e">
        <f>Table52[[#This Row],[IT]]/Table52[[#This Row],[plot]]</f>
        <v>#DIV/0!</v>
      </c>
      <c r="T49" s="39">
        <f>Table52[[#This Row],[clock_time]]/60</f>
        <v>1.2156416966666667E-2</v>
      </c>
    </row>
    <row r="50" spans="1:20" s="38" customFormat="1" x14ac:dyDescent="0.2">
      <c r="A50" s="38">
        <v>49</v>
      </c>
      <c r="B50" s="38" t="s">
        <v>12</v>
      </c>
      <c r="C50" s="38">
        <v>1</v>
      </c>
      <c r="D50" s="38" t="s">
        <v>13</v>
      </c>
      <c r="E50" s="38">
        <v>1000</v>
      </c>
      <c r="F50" s="38">
        <v>16</v>
      </c>
      <c r="G50" s="39">
        <f>1/Table52[[#This Row],[N]]</f>
        <v>6.25E-2</v>
      </c>
      <c r="H50" s="39">
        <f>Table52[[#This Row],[DX]]/1</f>
        <v>6.25E-2</v>
      </c>
      <c r="I50" s="38">
        <f>Table52[[#This Row],[CFL]]*Table52[[#This Row],[DT_MAX]]</f>
        <v>0.15625</v>
      </c>
      <c r="J50" s="39">
        <v>2.5</v>
      </c>
      <c r="M50" s="40"/>
      <c r="N50" s="40">
        <v>241</v>
      </c>
      <c r="O50" s="38">
        <v>0.74937796599999995</v>
      </c>
      <c r="Q50" s="39">
        <f>2.5/Table52[[#This Row],[DT]]</f>
        <v>16</v>
      </c>
      <c r="R50" s="39"/>
      <c r="S50" s="39" t="e">
        <f>Table52[[#This Row],[IT]]/Table52[[#This Row],[plot]]</f>
        <v>#DIV/0!</v>
      </c>
      <c r="T50" s="39">
        <f>Table52[[#This Row],[clock_time]]/60</f>
        <v>1.2489632766666666E-2</v>
      </c>
    </row>
    <row r="51" spans="1:20" s="38" customFormat="1" x14ac:dyDescent="0.2">
      <c r="A51" s="38">
        <v>50</v>
      </c>
      <c r="B51" s="38" t="s">
        <v>12</v>
      </c>
      <c r="C51" s="38">
        <v>1</v>
      </c>
      <c r="D51" s="38" t="s">
        <v>13</v>
      </c>
      <c r="E51" s="38">
        <v>1000</v>
      </c>
      <c r="F51" s="38">
        <v>16</v>
      </c>
      <c r="G51" s="39">
        <f>1/Table52[[#This Row],[N]]</f>
        <v>6.25E-2</v>
      </c>
      <c r="H51" s="39">
        <f>Table52[[#This Row],[DX]]/1</f>
        <v>6.25E-2</v>
      </c>
      <c r="I51" s="38">
        <f>Table52[[#This Row],[CFL]]*Table52[[#This Row],[DT_MAX]]</f>
        <v>0.140625</v>
      </c>
      <c r="J51" s="39">
        <v>2.25</v>
      </c>
      <c r="M51" s="40"/>
      <c r="N51" s="40">
        <v>274</v>
      </c>
      <c r="O51" s="38">
        <v>0.73873001299999996</v>
      </c>
      <c r="Q51" s="39">
        <f>2.5/Table52[[#This Row],[DT]]</f>
        <v>17.777777777777779</v>
      </c>
      <c r="R51" s="39"/>
      <c r="S51" s="39" t="e">
        <f>Table52[[#This Row],[IT]]/Table52[[#This Row],[plot]]</f>
        <v>#DIV/0!</v>
      </c>
      <c r="T51" s="39">
        <f>Table52[[#This Row],[clock_time]]/60</f>
        <v>1.2312166883333333E-2</v>
      </c>
    </row>
    <row r="52" spans="1:20" s="38" customFormat="1" x14ac:dyDescent="0.2">
      <c r="A52" s="38">
        <v>51</v>
      </c>
      <c r="B52" s="38" t="s">
        <v>12</v>
      </c>
      <c r="C52" s="38">
        <v>1</v>
      </c>
      <c r="D52" s="38" t="s">
        <v>13</v>
      </c>
      <c r="E52" s="38">
        <v>1000</v>
      </c>
      <c r="F52" s="38">
        <v>16</v>
      </c>
      <c r="G52" s="39">
        <f>1/Table52[[#This Row],[N]]</f>
        <v>6.25E-2</v>
      </c>
      <c r="H52" s="39">
        <f>Table52[[#This Row],[DX]]/1</f>
        <v>6.25E-2</v>
      </c>
      <c r="I52" s="38">
        <f>Table52[[#This Row],[CFL]]*Table52[[#This Row],[DT_MAX]]</f>
        <v>0.125</v>
      </c>
      <c r="J52" s="39">
        <v>2</v>
      </c>
      <c r="M52" s="40"/>
      <c r="N52" s="40">
        <v>304</v>
      </c>
      <c r="O52" s="38">
        <v>0.72258299599999998</v>
      </c>
      <c r="Q52" s="39">
        <f>2.5/Table52[[#This Row],[DT]]</f>
        <v>20</v>
      </c>
      <c r="R52" s="39"/>
      <c r="S52" s="39" t="e">
        <f>Table52[[#This Row],[IT]]/Table52[[#This Row],[plot]]</f>
        <v>#DIV/0!</v>
      </c>
      <c r="T52" s="39">
        <f>Table52[[#This Row],[clock_time]]/60</f>
        <v>1.2043049933333333E-2</v>
      </c>
    </row>
    <row r="53" spans="1:20" s="38" customFormat="1" ht="15" customHeight="1" x14ac:dyDescent="0.2">
      <c r="A53" s="38">
        <v>52</v>
      </c>
      <c r="B53" s="38" t="s">
        <v>12</v>
      </c>
      <c r="C53" s="38">
        <v>1</v>
      </c>
      <c r="D53" s="38" t="s">
        <v>13</v>
      </c>
      <c r="E53" s="38">
        <v>1000</v>
      </c>
      <c r="F53" s="38">
        <v>16</v>
      </c>
      <c r="G53" s="39">
        <f>1/Table52[[#This Row],[N]]</f>
        <v>6.25E-2</v>
      </c>
      <c r="H53" s="39">
        <f>Table52[[#This Row],[DX]]/1</f>
        <v>6.25E-2</v>
      </c>
      <c r="I53" s="38">
        <f>Table52[[#This Row],[CFL]]*Table52[[#This Row],[DT_MAX]]</f>
        <v>0.109375</v>
      </c>
      <c r="J53" s="39">
        <v>1.75</v>
      </c>
      <c r="M53" s="40"/>
      <c r="N53" s="40">
        <v>341</v>
      </c>
      <c r="O53" s="38">
        <v>0.73771297899999999</v>
      </c>
      <c r="Q53" s="39">
        <f>2.5/Table52[[#This Row],[DT]]</f>
        <v>22.857142857142858</v>
      </c>
      <c r="R53" s="39"/>
      <c r="S53" s="39" t="e">
        <f>Table52[[#This Row],[IT]]/Table52[[#This Row],[plot]]</f>
        <v>#DIV/0!</v>
      </c>
      <c r="T53" s="39">
        <f>Table52[[#This Row],[clock_time]]/60</f>
        <v>1.2295216316666666E-2</v>
      </c>
    </row>
    <row r="54" spans="1:20" s="38" customFormat="1" x14ac:dyDescent="0.2">
      <c r="A54" s="38">
        <v>53</v>
      </c>
      <c r="B54" s="38" t="s">
        <v>12</v>
      </c>
      <c r="C54" s="38">
        <v>1</v>
      </c>
      <c r="D54" s="38" t="s">
        <v>13</v>
      </c>
      <c r="E54" s="38">
        <v>1000</v>
      </c>
      <c r="F54" s="38">
        <v>16</v>
      </c>
      <c r="G54" s="39">
        <f>1/Table52[[#This Row],[N]]</f>
        <v>6.25E-2</v>
      </c>
      <c r="H54" s="39">
        <f>Table52[[#This Row],[DX]]/1</f>
        <v>6.25E-2</v>
      </c>
      <c r="I54" s="38">
        <f>Table52[[#This Row],[CFL]]*Table52[[#This Row],[DT_MAX]]</f>
        <v>9.375E-2</v>
      </c>
      <c r="J54" s="39">
        <v>1.5</v>
      </c>
      <c r="M54" s="40"/>
      <c r="N54" s="40">
        <v>390</v>
      </c>
      <c r="O54" s="38">
        <v>0.72225296500000002</v>
      </c>
      <c r="Q54" s="39">
        <f>2.5/Table52[[#This Row],[DT]]</f>
        <v>26.666666666666668</v>
      </c>
      <c r="R54" s="39"/>
      <c r="S54" s="39" t="e">
        <f>Table52[[#This Row],[IT]]/Table52[[#This Row],[plot]]</f>
        <v>#DIV/0!</v>
      </c>
      <c r="T54" s="39">
        <f>Table52[[#This Row],[clock_time]]/60</f>
        <v>1.2037549416666666E-2</v>
      </c>
    </row>
    <row r="55" spans="1:20" s="38" customFormat="1" x14ac:dyDescent="0.2">
      <c r="A55" s="38">
        <v>54</v>
      </c>
      <c r="B55" s="38" t="s">
        <v>12</v>
      </c>
      <c r="C55" s="38">
        <v>2</v>
      </c>
      <c r="D55" s="38" t="s">
        <v>13</v>
      </c>
      <c r="E55" s="38">
        <v>1000</v>
      </c>
      <c r="F55" s="38">
        <v>16</v>
      </c>
      <c r="G55" s="39">
        <f>1/Table52[[#This Row],[N]]</f>
        <v>6.25E-2</v>
      </c>
      <c r="H55" s="39">
        <f>Table52[[#This Row],[DX]]/1</f>
        <v>6.25E-2</v>
      </c>
      <c r="I55" s="38">
        <f>Table52[[#This Row],[CFL]]*Table52[[#This Row],[DT_MAX]]</f>
        <v>7.8125E-2</v>
      </c>
      <c r="J55" s="39">
        <v>1.25</v>
      </c>
      <c r="M55" s="40"/>
      <c r="N55" s="40">
        <v>457</v>
      </c>
      <c r="O55" s="38">
        <v>0.65907299500000005</v>
      </c>
      <c r="Q55" s="39">
        <f>2.5/Table52[[#This Row],[DT]]</f>
        <v>32</v>
      </c>
      <c r="R55" s="39"/>
      <c r="S55" s="39" t="e">
        <f>Table52[[#This Row],[IT]]/Table52[[#This Row],[plot]]</f>
        <v>#DIV/0!</v>
      </c>
      <c r="T55" s="39">
        <f>Table52[[#This Row],[clock_time]]/60</f>
        <v>1.0984549916666668E-2</v>
      </c>
    </row>
    <row r="56" spans="1:20" s="38" customFormat="1" x14ac:dyDescent="0.2">
      <c r="A56" s="38">
        <v>55</v>
      </c>
      <c r="B56" s="38" t="s">
        <v>12</v>
      </c>
      <c r="C56" s="38">
        <v>3</v>
      </c>
      <c r="D56" s="38" t="s">
        <v>13</v>
      </c>
      <c r="E56" s="38">
        <v>1000</v>
      </c>
      <c r="F56" s="38">
        <v>16</v>
      </c>
      <c r="G56" s="39">
        <f>1/Table52[[#This Row],[N]]</f>
        <v>6.25E-2</v>
      </c>
      <c r="H56" s="39">
        <f>Table52[[#This Row],[DX]]/1</f>
        <v>6.25E-2</v>
      </c>
      <c r="I56" s="38">
        <f>Table52[[#This Row],[CFL]]*Table52[[#This Row],[DT_MAX]]</f>
        <v>6.25E-2</v>
      </c>
      <c r="J56" s="39">
        <v>1</v>
      </c>
      <c r="M56" s="40"/>
      <c r="N56" s="40">
        <v>554</v>
      </c>
      <c r="O56" s="38">
        <v>0.62351202999999999</v>
      </c>
      <c r="Q56" s="39">
        <f>2.5/Table52[[#This Row],[DT]]</f>
        <v>40</v>
      </c>
      <c r="R56" s="39"/>
      <c r="S56" s="39" t="e">
        <f>Table52[[#This Row],[IT]]/Table52[[#This Row],[plot]]</f>
        <v>#DIV/0!</v>
      </c>
      <c r="T56" s="39">
        <f>Table52[[#This Row],[clock_time]]/60</f>
        <v>1.0391867166666667E-2</v>
      </c>
    </row>
    <row r="57" spans="1:20" s="38" customFormat="1" x14ac:dyDescent="0.2">
      <c r="A57" s="38">
        <v>56</v>
      </c>
      <c r="B57" s="38" t="s">
        <v>12</v>
      </c>
      <c r="C57" s="38">
        <v>4</v>
      </c>
      <c r="D57" s="38" t="s">
        <v>13</v>
      </c>
      <c r="E57" s="38">
        <v>1000</v>
      </c>
      <c r="F57" s="38">
        <v>16</v>
      </c>
      <c r="G57" s="39">
        <f>1/Table52[[#This Row],[N]]</f>
        <v>6.25E-2</v>
      </c>
      <c r="H57" s="39">
        <f>Table52[[#This Row],[DX]]/1</f>
        <v>6.25E-2</v>
      </c>
      <c r="I57" s="38">
        <f>Table52[[#This Row],[CFL]]*Table52[[#This Row],[DT_MAX]]</f>
        <v>4.6875E-2</v>
      </c>
      <c r="J57" s="39">
        <v>0.75</v>
      </c>
      <c r="M57" s="40"/>
      <c r="N57" s="38">
        <v>707</v>
      </c>
      <c r="O57" s="38">
        <v>0.562693</v>
      </c>
      <c r="Q57" s="39">
        <f>2.5/Table52[[#This Row],[DT]]</f>
        <v>53.333333333333336</v>
      </c>
      <c r="R57" s="39"/>
      <c r="S57" s="39" t="e">
        <f>Table52[[#This Row],[IT]]/Table52[[#This Row],[plot]]</f>
        <v>#DIV/0!</v>
      </c>
      <c r="T57" s="39">
        <f>Table52[[#This Row],[clock_time]]/60</f>
        <v>9.3782166666666663E-3</v>
      </c>
    </row>
    <row r="58" spans="1:20" s="38" customFormat="1" x14ac:dyDescent="0.2">
      <c r="A58" s="38">
        <v>57</v>
      </c>
      <c r="B58" s="38" t="s">
        <v>12</v>
      </c>
      <c r="C58" s="38">
        <v>5</v>
      </c>
      <c r="D58" s="38" t="s">
        <v>13</v>
      </c>
      <c r="E58" s="38">
        <v>1000</v>
      </c>
      <c r="F58" s="38">
        <v>16</v>
      </c>
      <c r="G58" s="39">
        <f>1/Table52[[#This Row],[N]]</f>
        <v>6.25E-2</v>
      </c>
      <c r="H58" s="39">
        <f>Table52[[#This Row],[DX]]/1</f>
        <v>6.25E-2</v>
      </c>
      <c r="I58" s="38">
        <f>Table52[[#This Row],[CFL]]*Table52[[#This Row],[DT_MAX]]</f>
        <v>3.125E-2</v>
      </c>
      <c r="J58" s="39">
        <v>0.5</v>
      </c>
      <c r="M58" s="40"/>
      <c r="N58" s="40">
        <v>996</v>
      </c>
      <c r="O58" s="38">
        <v>0.46355798799999998</v>
      </c>
      <c r="Q58" s="39">
        <f>2.5/Table52[[#This Row],[DT]]</f>
        <v>80</v>
      </c>
      <c r="R58" s="39"/>
      <c r="S58" s="39" t="e">
        <f>Table52[[#This Row],[IT]]/Table52[[#This Row],[plot]]</f>
        <v>#DIV/0!</v>
      </c>
      <c r="T58" s="39">
        <f>Table52[[#This Row],[clock_time]]/60</f>
        <v>7.7259664666666662E-3</v>
      </c>
    </row>
    <row r="59" spans="1:20" s="38" customFormat="1" x14ac:dyDescent="0.2">
      <c r="A59" s="38">
        <v>58</v>
      </c>
      <c r="B59" s="38" t="s">
        <v>12</v>
      </c>
      <c r="C59" s="38">
        <v>5</v>
      </c>
      <c r="D59" s="38" t="s">
        <v>13</v>
      </c>
      <c r="E59" s="38">
        <v>1000</v>
      </c>
      <c r="F59" s="38">
        <v>16</v>
      </c>
      <c r="G59" s="39">
        <f>1/Table52[[#This Row],[N]]</f>
        <v>6.25E-2</v>
      </c>
      <c r="H59" s="39">
        <f>Table52[[#This Row],[DX]]/1</f>
        <v>6.25E-2</v>
      </c>
      <c r="I59" s="38">
        <f>Table52[[#This Row],[CFL]]*Table52[[#This Row],[DT_MAX]]</f>
        <v>1.5625E-2</v>
      </c>
      <c r="J59" s="39">
        <v>0.25</v>
      </c>
      <c r="M59" s="40"/>
      <c r="N59" s="40"/>
      <c r="Q59" s="39">
        <f>2.5/Table52[[#This Row],[DT]]</f>
        <v>160</v>
      </c>
      <c r="R59" s="39"/>
      <c r="S59" s="39" t="e">
        <f>Table52[[#This Row],[IT]]/Table52[[#This Row],[plot]]</f>
        <v>#DIV/0!</v>
      </c>
      <c r="T59" s="39">
        <f>Table52[[#This Row],[clock_time]]/60</f>
        <v>0</v>
      </c>
    </row>
    <row r="60" spans="1:20" x14ac:dyDescent="0.2">
      <c r="A60">
        <v>59</v>
      </c>
      <c r="B60" s="18" t="s">
        <v>19</v>
      </c>
      <c r="C60" s="18">
        <v>-1</v>
      </c>
      <c r="D60" s="18" t="s">
        <v>13</v>
      </c>
      <c r="E60" s="18">
        <v>1000</v>
      </c>
      <c r="F60" s="18">
        <v>64</v>
      </c>
      <c r="G60" s="32">
        <f>1/Table52[[#This Row],[N]]</f>
        <v>1.5625E-2</v>
      </c>
      <c r="H60" s="32">
        <f>Table52[[#This Row],[DX]]/1</f>
        <v>1.5625E-2</v>
      </c>
      <c r="J60" s="32">
        <f>1*Table52[[#This Row],[DT]]/Table52[[#This Row],[DX]]</f>
        <v>0</v>
      </c>
      <c r="K60" s="21">
        <v>0.3</v>
      </c>
      <c r="L60" s="18">
        <v>0.5</v>
      </c>
      <c r="M60" s="1"/>
      <c r="N60" s="1"/>
      <c r="Q60" s="32" t="e">
        <f>2.5/Table52[[#This Row],[DT]]</f>
        <v>#DIV/0!</v>
      </c>
      <c r="R60" s="32"/>
      <c r="S60" s="32" t="e">
        <f>Table52[[#This Row],[IT]]/Table52[[#This Row],[plot]]</f>
        <v>#DIV/0!</v>
      </c>
      <c r="T60" s="32">
        <f>Table52[[#This Row],[clock_time]]/60</f>
        <v>0</v>
      </c>
    </row>
    <row r="61" spans="1:20" x14ac:dyDescent="0.2">
      <c r="A61">
        <v>60</v>
      </c>
      <c r="B61" s="18" t="s">
        <v>19</v>
      </c>
      <c r="C61" s="18">
        <v>-1</v>
      </c>
      <c r="D61" s="18" t="s">
        <v>13</v>
      </c>
      <c r="E61" s="18">
        <v>1000</v>
      </c>
      <c r="F61" s="18">
        <v>64</v>
      </c>
      <c r="G61" s="32">
        <f>1/Table52[[#This Row],[N]]</f>
        <v>1.5625E-2</v>
      </c>
      <c r="H61" s="32">
        <f>Table52[[#This Row],[DX]]/1</f>
        <v>1.5625E-2</v>
      </c>
      <c r="J61" s="32">
        <f>1*Table52[[#This Row],[DT]]/Table52[[#This Row],[DX]]</f>
        <v>0</v>
      </c>
      <c r="K61" s="21">
        <v>0.3</v>
      </c>
      <c r="L61" s="18">
        <v>0.6</v>
      </c>
      <c r="M61" s="1"/>
      <c r="N61" s="1"/>
      <c r="Q61" s="32" t="e">
        <f>2.5/Table52[[#This Row],[DT]]</f>
        <v>#DIV/0!</v>
      </c>
      <c r="R61" s="32"/>
      <c r="S61" s="32" t="e">
        <f>Table52[[#This Row],[IT]]/Table52[[#This Row],[plot]]</f>
        <v>#DIV/0!</v>
      </c>
      <c r="T61" s="32">
        <f>Table52[[#This Row],[clock_time]]/60</f>
        <v>0</v>
      </c>
    </row>
    <row r="62" spans="1:20" x14ac:dyDescent="0.2">
      <c r="A62">
        <v>61</v>
      </c>
      <c r="B62" s="18" t="s">
        <v>19</v>
      </c>
      <c r="C62" s="18">
        <v>-1</v>
      </c>
      <c r="D62" s="18" t="s">
        <v>13</v>
      </c>
      <c r="E62" s="18">
        <v>1000</v>
      </c>
      <c r="G62" s="32" t="e">
        <f>1/Table52[[#This Row],[N]]</f>
        <v>#DIV/0!</v>
      </c>
      <c r="H62" s="32" t="e">
        <f>Table52[[#This Row],[DX]]/1</f>
        <v>#DIV/0!</v>
      </c>
      <c r="J62" s="32" t="e">
        <f>1*Table52[[#This Row],[DT]]/Table52[[#This Row],[DX]]</f>
        <v>#DIV/0!</v>
      </c>
      <c r="K62" s="21">
        <v>0.3</v>
      </c>
      <c r="L62" s="18">
        <v>0.7</v>
      </c>
      <c r="M62" s="1"/>
      <c r="N62" s="1"/>
      <c r="Q62" s="32" t="e">
        <f>2.5/Table52[[#This Row],[DT]]</f>
        <v>#DIV/0!</v>
      </c>
      <c r="R62" s="32"/>
      <c r="S62" s="32" t="e">
        <f>Table52[[#This Row],[IT]]/Table52[[#This Row],[plot]]</f>
        <v>#DIV/0!</v>
      </c>
      <c r="T62" s="32">
        <f>Table52[[#This Row],[clock_time]]/60</f>
        <v>0</v>
      </c>
    </row>
    <row r="63" spans="1:20" x14ac:dyDescent="0.2">
      <c r="A63">
        <v>62</v>
      </c>
      <c r="B63" s="18" t="s">
        <v>19</v>
      </c>
      <c r="C63" s="18">
        <v>-1</v>
      </c>
      <c r="D63" s="18" t="s">
        <v>13</v>
      </c>
      <c r="E63" s="18">
        <v>1000</v>
      </c>
      <c r="G63" s="32" t="e">
        <f>1/Table52[[#This Row],[N]]</f>
        <v>#DIV/0!</v>
      </c>
      <c r="H63" s="32" t="e">
        <f>Table52[[#This Row],[DX]]/1</f>
        <v>#DIV/0!</v>
      </c>
      <c r="J63" s="32" t="e">
        <f>1*Table52[[#This Row],[DT]]/Table52[[#This Row],[DX]]</f>
        <v>#DIV/0!</v>
      </c>
      <c r="K63" s="21">
        <v>0.3</v>
      </c>
      <c r="L63" s="18">
        <v>0.8</v>
      </c>
      <c r="M63" s="1"/>
      <c r="N63" s="1"/>
      <c r="Q63" s="32" t="e">
        <f>2.5/Table52[[#This Row],[DT]]</f>
        <v>#DIV/0!</v>
      </c>
      <c r="R63" s="32"/>
      <c r="S63" s="32" t="e">
        <f>Table52[[#This Row],[IT]]/Table52[[#This Row],[plot]]</f>
        <v>#DIV/0!</v>
      </c>
      <c r="T63" s="32">
        <f>Table52[[#This Row],[clock_time]]/60</f>
        <v>0</v>
      </c>
    </row>
    <row r="64" spans="1:20" x14ac:dyDescent="0.2">
      <c r="A64">
        <v>63</v>
      </c>
      <c r="B64" s="18" t="s">
        <v>19</v>
      </c>
      <c r="C64" s="18">
        <v>-1</v>
      </c>
      <c r="D64" s="18" t="s">
        <v>13</v>
      </c>
      <c r="E64" s="18">
        <v>1000</v>
      </c>
      <c r="G64" s="32" t="e">
        <f>1/Table52[[#This Row],[N]]</f>
        <v>#DIV/0!</v>
      </c>
      <c r="H64" s="32" t="e">
        <f>Table52[[#This Row],[DX]]/1</f>
        <v>#DIV/0!</v>
      </c>
      <c r="J64" s="32" t="e">
        <f>1*Table52[[#This Row],[DT]]/Table52[[#This Row],[DX]]</f>
        <v>#DIV/0!</v>
      </c>
      <c r="K64" s="21">
        <v>0.3</v>
      </c>
      <c r="L64" s="18">
        <v>0.78</v>
      </c>
      <c r="M64" s="1"/>
      <c r="N64" s="1"/>
      <c r="Q64" s="32" t="e">
        <f>2.5/Table52[[#This Row],[DT]]</f>
        <v>#DIV/0!</v>
      </c>
      <c r="R64" s="32"/>
      <c r="S64" s="32" t="e">
        <f>Table52[[#This Row],[IT]]/Table52[[#This Row],[plot]]</f>
        <v>#DIV/0!</v>
      </c>
      <c r="T64" s="32">
        <f>Table52[[#This Row],[clock_time]]/60</f>
        <v>0</v>
      </c>
    </row>
  </sheetData>
  <phoneticPr fontId="2" type="noConversion"/>
  <pageMargins left="0.7" right="0.7" top="0.75" bottom="0.75" header="0.3" footer="0.3"/>
  <ignoredErrors>
    <ignoredError sqref="H27 H28:H36 J27:J31" calculatedColumn="1"/>
  </ignoredErrors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B719B-FD0A-E24B-A1E1-E1621582597A}">
  <dimension ref="A1:S27"/>
  <sheetViews>
    <sheetView workbookViewId="0">
      <selection activeCell="C35" sqref="C34:D35"/>
    </sheetView>
  </sheetViews>
  <sheetFormatPr baseColWidth="10" defaultRowHeight="16" x14ac:dyDescent="0.2"/>
  <cols>
    <col min="2" max="3" width="13.6640625" customWidth="1"/>
    <col min="4" max="4" width="12.33203125" customWidth="1"/>
    <col min="6" max="6" width="14.5" customWidth="1"/>
    <col min="8" max="8" width="11.33203125" style="1" customWidth="1"/>
  </cols>
  <sheetData>
    <row r="1" spans="1:19" x14ac:dyDescent="0.2">
      <c r="A1" t="s">
        <v>0</v>
      </c>
      <c r="B1" t="s">
        <v>1</v>
      </c>
      <c r="C1" t="s">
        <v>3</v>
      </c>
      <c r="D1" t="s">
        <v>2</v>
      </c>
      <c r="E1" t="s">
        <v>6</v>
      </c>
      <c r="F1" t="s">
        <v>4</v>
      </c>
      <c r="G1" t="s">
        <v>5</v>
      </c>
      <c r="H1" t="s">
        <v>22</v>
      </c>
      <c r="I1" t="s">
        <v>21</v>
      </c>
      <c r="J1" t="s">
        <v>23</v>
      </c>
      <c r="K1" t="s">
        <v>24</v>
      </c>
      <c r="L1" t="s">
        <v>25</v>
      </c>
      <c r="M1" s="6" t="s">
        <v>20</v>
      </c>
      <c r="N1" s="1" t="s">
        <v>7</v>
      </c>
      <c r="O1" t="s">
        <v>8</v>
      </c>
      <c r="P1" t="s">
        <v>9</v>
      </c>
      <c r="Q1" t="s">
        <v>10</v>
      </c>
      <c r="R1" t="s">
        <v>11</v>
      </c>
      <c r="S1" t="s">
        <v>26</v>
      </c>
    </row>
    <row r="2" spans="1:19" x14ac:dyDescent="0.2">
      <c r="A2">
        <v>1</v>
      </c>
      <c r="B2" t="s">
        <v>12</v>
      </c>
      <c r="C2">
        <v>1</v>
      </c>
      <c r="D2" t="s">
        <v>13</v>
      </c>
      <c r="E2">
        <v>1000</v>
      </c>
      <c r="F2">
        <v>16</v>
      </c>
      <c r="G2">
        <f>1/Table523[[#This Row],[N]]</f>
        <v>6.25E-2</v>
      </c>
      <c r="H2">
        <f>Table523[[#This Row],[DX]]/1</f>
        <v>6.25E-2</v>
      </c>
      <c r="I2">
        <v>0.15</v>
      </c>
      <c r="J2">
        <f>1*Table523[[#This Row],[DT]]/Table523[[#This Row],[DX]]</f>
        <v>2.4</v>
      </c>
      <c r="K2">
        <v>-1</v>
      </c>
      <c r="L2">
        <v>0.2</v>
      </c>
      <c r="M2" s="1">
        <v>260</v>
      </c>
      <c r="N2" s="1">
        <v>0.247446999</v>
      </c>
      <c r="O2" t="s">
        <v>14</v>
      </c>
      <c r="P2">
        <f>Table523[[#This Row],[IT]]/(Table523[[#This Row],[DT]]^(0.001))</f>
        <v>260.49371937043531</v>
      </c>
      <c r="Q2">
        <v>25</v>
      </c>
      <c r="R2">
        <f>Table523[[#This Row],[IT]]/Table523[[#This Row],[plot]]</f>
        <v>10.4</v>
      </c>
      <c r="S2">
        <f>Table523[[#This Row],[clock_time]]/60</f>
        <v>4.1241166499999997E-3</v>
      </c>
    </row>
    <row r="3" spans="1:19" x14ac:dyDescent="0.2">
      <c r="A3">
        <v>2</v>
      </c>
      <c r="B3" t="s">
        <v>12</v>
      </c>
      <c r="C3">
        <v>1</v>
      </c>
      <c r="D3" t="s">
        <v>13</v>
      </c>
      <c r="E3">
        <v>1000</v>
      </c>
      <c r="F3">
        <v>32</v>
      </c>
      <c r="G3">
        <f>1/Table523[[#This Row],[N]]</f>
        <v>3.125E-2</v>
      </c>
      <c r="H3">
        <f>Table523[[#This Row],[DX]]/1</f>
        <v>3.125E-2</v>
      </c>
      <c r="I3">
        <v>0.05</v>
      </c>
      <c r="J3">
        <f>1*Table523[[#This Row],[DT]]/Table523[[#This Row],[DX]]</f>
        <v>1.6</v>
      </c>
      <c r="K3">
        <v>-1</v>
      </c>
      <c r="L3">
        <v>0.1</v>
      </c>
      <c r="M3">
        <v>860</v>
      </c>
      <c r="N3" s="1">
        <v>3.8879101299999999</v>
      </c>
      <c r="O3" t="s">
        <v>14</v>
      </c>
      <c r="P3">
        <f>Table523[[#This Row],[IT]]/(Table523[[#This Row],[DT]]^(0.001))</f>
        <v>862.58019260874914</v>
      </c>
      <c r="Q3">
        <v>100</v>
      </c>
      <c r="R3">
        <f>Table523[[#This Row],[IT]]/Table523[[#This Row],[plot]]</f>
        <v>8.6</v>
      </c>
      <c r="S3">
        <f>Table523[[#This Row],[clock_time]]/60</f>
        <v>6.4798502166666661E-2</v>
      </c>
    </row>
    <row r="4" spans="1:19" x14ac:dyDescent="0.2">
      <c r="A4">
        <v>3</v>
      </c>
      <c r="B4" t="s">
        <v>12</v>
      </c>
      <c r="C4">
        <v>1</v>
      </c>
      <c r="D4" t="s">
        <v>13</v>
      </c>
      <c r="E4">
        <v>1000</v>
      </c>
      <c r="F4">
        <v>64</v>
      </c>
      <c r="G4">
        <f>1/Table523[[#This Row],[N]]</f>
        <v>1.5625E-2</v>
      </c>
      <c r="H4">
        <f>Table523[[#This Row],[DX]]/1</f>
        <v>1.5625E-2</v>
      </c>
      <c r="I4">
        <v>1.4999999999999999E-2</v>
      </c>
      <c r="J4">
        <f>1*Table523[[#This Row],[DT]]/Table523[[#This Row],[DX]]</f>
        <v>0.96</v>
      </c>
      <c r="K4">
        <v>-1</v>
      </c>
      <c r="L4">
        <v>0.02</v>
      </c>
      <c r="M4">
        <v>3322</v>
      </c>
      <c r="N4">
        <v>44.980831100000003</v>
      </c>
      <c r="O4" t="s">
        <v>14</v>
      </c>
      <c r="P4">
        <f>Table523[[#This Row],[IT]]/(Table523[[#This Row],[DT]]^(0.001))</f>
        <v>3335.9807572485006</v>
      </c>
      <c r="Q4">
        <v>250</v>
      </c>
      <c r="R4">
        <f>Table523[[#This Row],[IT]]/Table523[[#This Row],[plot]]</f>
        <v>13.288</v>
      </c>
      <c r="S4">
        <f>Table523[[#This Row],[clock_time]]/60</f>
        <v>0.74968051833333338</v>
      </c>
    </row>
    <row r="5" spans="1:19" x14ac:dyDescent="0.2">
      <c r="A5">
        <v>4</v>
      </c>
      <c r="B5" t="s">
        <v>12</v>
      </c>
      <c r="C5">
        <v>1</v>
      </c>
      <c r="D5" t="s">
        <v>13</v>
      </c>
      <c r="E5">
        <v>1000</v>
      </c>
      <c r="F5">
        <v>128</v>
      </c>
      <c r="G5">
        <f>1/Table523[[#This Row],[N]]</f>
        <v>7.8125E-3</v>
      </c>
      <c r="H5">
        <f>Table523[[#This Row],[DX]]/1</f>
        <v>7.8125E-3</v>
      </c>
      <c r="I5">
        <v>5.0000000000000001E-3</v>
      </c>
      <c r="J5">
        <f>1*Table523[[#This Row],[DT]]/Table523[[#This Row],[DX]]</f>
        <v>0.64</v>
      </c>
      <c r="K5">
        <v>-1</v>
      </c>
      <c r="L5">
        <v>0.01</v>
      </c>
      <c r="M5">
        <v>11952</v>
      </c>
      <c r="N5" s="1">
        <v>377.19601399999999</v>
      </c>
      <c r="O5" t="s">
        <v>14</v>
      </c>
      <c r="P5">
        <f>Table523[[#This Row],[IT]]/(Table523[[#This Row],[DT]]^(0.001))</f>
        <v>12015.493545107956</v>
      </c>
      <c r="Q5">
        <v>1000</v>
      </c>
      <c r="R5">
        <f>Table523[[#This Row],[IT]]/Table523[[#This Row],[plot]]</f>
        <v>11.952</v>
      </c>
      <c r="S5">
        <f>Table523[[#This Row],[clock_time]]/60</f>
        <v>6.2866002333333331</v>
      </c>
    </row>
    <row r="6" spans="1:19" x14ac:dyDescent="0.2">
      <c r="A6">
        <v>5</v>
      </c>
      <c r="B6" t="s">
        <v>12</v>
      </c>
      <c r="C6">
        <v>1</v>
      </c>
      <c r="D6" t="s">
        <v>13</v>
      </c>
      <c r="E6">
        <v>1000</v>
      </c>
      <c r="F6">
        <v>256</v>
      </c>
      <c r="G6">
        <f>1/Table523[[#This Row],[N]]</f>
        <v>3.90625E-3</v>
      </c>
      <c r="H6">
        <f>Table523[[#This Row],[DX]]/1</f>
        <v>3.90625E-3</v>
      </c>
      <c r="I6">
        <v>1.5E-3</v>
      </c>
      <c r="J6">
        <f>1*Table523[[#This Row],[DT]]/Table523[[#This Row],[DX]]</f>
        <v>0.38400000000000001</v>
      </c>
      <c r="K6">
        <v>-1</v>
      </c>
      <c r="L6">
        <v>2.5000000000000001E-3</v>
      </c>
      <c r="M6">
        <v>43836</v>
      </c>
      <c r="N6" s="1">
        <v>3393.8759799999998</v>
      </c>
      <c r="O6" t="s">
        <v>15</v>
      </c>
      <c r="P6">
        <f>Table523[[#This Row],[IT]]/(Table523[[#This Row],[DT]]^(0.001))</f>
        <v>44121.96309189398</v>
      </c>
      <c r="Q6">
        <v>5000</v>
      </c>
      <c r="R6">
        <f>Table523[[#This Row],[IT]]/Table523[[#This Row],[plot]]</f>
        <v>8.7672000000000008</v>
      </c>
      <c r="S6">
        <f>Table523[[#This Row],[clock_time]]/60</f>
        <v>56.564599666666666</v>
      </c>
    </row>
    <row r="7" spans="1:19" x14ac:dyDescent="0.2">
      <c r="A7" s="9">
        <v>6</v>
      </c>
      <c r="B7" s="9" t="s">
        <v>12</v>
      </c>
      <c r="C7" s="9">
        <v>1</v>
      </c>
      <c r="D7" s="9" t="s">
        <v>16</v>
      </c>
      <c r="E7" s="9">
        <v>1000</v>
      </c>
      <c r="F7" s="9">
        <v>16</v>
      </c>
      <c r="G7" s="9">
        <f>1/Table523[[#This Row],[N]]</f>
        <v>6.25E-2</v>
      </c>
      <c r="H7" s="9">
        <f>Table523[[#This Row],[DX]]/1</f>
        <v>6.25E-2</v>
      </c>
      <c r="I7" s="9">
        <v>0.1</v>
      </c>
      <c r="J7" s="9">
        <f>1*Table523[[#This Row],[DT]]/Table523[[#This Row],[DX]]</f>
        <v>1.6</v>
      </c>
      <c r="K7" s="9">
        <v>-1</v>
      </c>
      <c r="L7" s="9">
        <v>0.15</v>
      </c>
      <c r="M7" s="9">
        <v>660</v>
      </c>
      <c r="N7" s="10">
        <v>0.53302800699999997</v>
      </c>
      <c r="O7" s="9" t="s">
        <v>15</v>
      </c>
      <c r="P7" s="9">
        <f>Table523[[#This Row],[IT]]/(Table523[[#This Row],[DT]]^(0.001))</f>
        <v>661.52145713141385</v>
      </c>
      <c r="R7" t="e">
        <f>Table523[[#This Row],[IT]]/Table523[[#This Row],[plot]]</f>
        <v>#DIV/0!</v>
      </c>
      <c r="S7">
        <f>Table523[[#This Row],[clock_time]]/60</f>
        <v>8.8838001166666666E-3</v>
      </c>
    </row>
    <row r="8" spans="1:19" x14ac:dyDescent="0.2">
      <c r="A8" s="9">
        <v>7</v>
      </c>
      <c r="B8" s="9" t="s">
        <v>12</v>
      </c>
      <c r="C8" s="9">
        <v>1</v>
      </c>
      <c r="D8" s="9" t="s">
        <v>16</v>
      </c>
      <c r="E8" s="9">
        <v>1000</v>
      </c>
      <c r="F8" s="9">
        <v>32</v>
      </c>
      <c r="G8" s="9">
        <f>1/Table523[[#This Row],[N]]</f>
        <v>3.125E-2</v>
      </c>
      <c r="H8" s="9">
        <f>Table523[[#This Row],[DX]]/1</f>
        <v>3.125E-2</v>
      </c>
      <c r="I8" s="9">
        <v>2.5000000000000001E-2</v>
      </c>
      <c r="J8" s="9">
        <f>1*Table523[[#This Row],[DT]]/Table523[[#This Row],[DX]]</f>
        <v>0.8</v>
      </c>
      <c r="K8" s="9">
        <v>-1</v>
      </c>
      <c r="L8" s="9">
        <v>0.05</v>
      </c>
      <c r="M8" s="9">
        <v>1940</v>
      </c>
      <c r="N8" s="10">
        <v>5.9802618000000001</v>
      </c>
      <c r="O8" s="9" t="s">
        <v>15</v>
      </c>
      <c r="P8" s="9">
        <f>Table523[[#This Row],[IT]]/(Table523[[#This Row],[DT]]^(0.001))</f>
        <v>1947.1696419832119</v>
      </c>
      <c r="R8" t="e">
        <f>Table523[[#This Row],[IT]]/Table523[[#This Row],[plot]]</f>
        <v>#DIV/0!</v>
      </c>
      <c r="S8">
        <f>Table523[[#This Row],[clock_time]]/60</f>
        <v>9.9671030000000008E-2</v>
      </c>
    </row>
    <row r="9" spans="1:19" x14ac:dyDescent="0.2">
      <c r="A9" s="9">
        <v>8</v>
      </c>
      <c r="B9" s="9" t="s">
        <v>12</v>
      </c>
      <c r="C9" s="9">
        <v>1</v>
      </c>
      <c r="D9" s="9" t="s">
        <v>16</v>
      </c>
      <c r="E9" s="9">
        <v>1000</v>
      </c>
      <c r="F9" s="9">
        <v>64</v>
      </c>
      <c r="G9" s="9">
        <f>1/Table523[[#This Row],[N]]</f>
        <v>1.5625E-2</v>
      </c>
      <c r="H9" s="9">
        <f>Table523[[#This Row],[DX]]/1</f>
        <v>1.5625E-2</v>
      </c>
      <c r="I9" s="9">
        <v>1.4999999999999999E-2</v>
      </c>
      <c r="J9" s="9">
        <f>1*Table523[[#This Row],[DT]]/Table523[[#This Row],[DX]]</f>
        <v>0.96</v>
      </c>
      <c r="K9" s="9">
        <v>-1</v>
      </c>
      <c r="L9" s="9">
        <v>0.02</v>
      </c>
      <c r="M9" s="9">
        <v>4200</v>
      </c>
      <c r="N9" s="10">
        <v>79.461456299999995</v>
      </c>
      <c r="O9" t="s">
        <v>15</v>
      </c>
      <c r="P9" s="9">
        <f>Table523[[#This Row],[IT]]/(Table523[[#This Row],[DT]]^(0.001))</f>
        <v>4217.6758520300127</v>
      </c>
      <c r="R9" t="e">
        <f>Table523[[#This Row],[IT]]/Table523[[#This Row],[plot]]</f>
        <v>#DIV/0!</v>
      </c>
      <c r="S9">
        <f>Table523[[#This Row],[clock_time]]/60</f>
        <v>1.3243576049999999</v>
      </c>
    </row>
    <row r="10" spans="1:19" x14ac:dyDescent="0.2">
      <c r="A10">
        <v>9</v>
      </c>
      <c r="B10" t="s">
        <v>12</v>
      </c>
      <c r="C10">
        <v>1</v>
      </c>
      <c r="D10" t="s">
        <v>16</v>
      </c>
      <c r="E10">
        <v>1000</v>
      </c>
      <c r="F10">
        <v>128</v>
      </c>
      <c r="G10">
        <f>1/Table523[[#This Row],[N]]</f>
        <v>7.8125E-3</v>
      </c>
      <c r="H10">
        <f>Table523[[#This Row],[DX]]/1</f>
        <v>7.8125E-3</v>
      </c>
      <c r="I10">
        <v>7.4999999999999997E-3</v>
      </c>
      <c r="J10">
        <f>1*Table523[[#This Row],[DT]]/Table523[[#This Row],[DX]]</f>
        <v>0.96</v>
      </c>
      <c r="K10">
        <v>-1</v>
      </c>
      <c r="M10">
        <v>11900</v>
      </c>
      <c r="N10" s="1">
        <v>573.28375200000005</v>
      </c>
      <c r="O10" t="s">
        <v>17</v>
      </c>
      <c r="P10">
        <f>Table523[[#This Row],[IT]]/(Table523[[#This Row],[DT]]^(0.001))</f>
        <v>11958.367617496613</v>
      </c>
      <c r="Q10">
        <v>1000</v>
      </c>
      <c r="R10">
        <f>Table523[[#This Row],[IT]]/Table523[[#This Row],[plot]]</f>
        <v>11.9</v>
      </c>
      <c r="S10">
        <f>Table523[[#This Row],[clock_time]]/60</f>
        <v>9.5547292000000006</v>
      </c>
    </row>
    <row r="11" spans="1:19" s="7" customFormat="1" ht="17" thickBot="1" x14ac:dyDescent="0.25">
      <c r="A11" s="11">
        <v>10</v>
      </c>
      <c r="B11" s="11" t="s">
        <v>12</v>
      </c>
      <c r="C11" s="11">
        <v>1</v>
      </c>
      <c r="D11" s="11" t="s">
        <v>16</v>
      </c>
      <c r="E11" s="11">
        <v>1000</v>
      </c>
      <c r="F11" s="11">
        <v>256</v>
      </c>
      <c r="G11" s="11">
        <f>1/Table523[[#This Row],[N]]</f>
        <v>3.90625E-3</v>
      </c>
      <c r="H11" s="11">
        <f>Table523[[#This Row],[DX]]/1</f>
        <v>3.90625E-3</v>
      </c>
      <c r="I11" s="11">
        <v>2E-3</v>
      </c>
      <c r="J11" s="11">
        <f>1*Table523[[#This Row],[DT]]/Table523[[#This Row],[DX]]</f>
        <v>0.51200000000000001</v>
      </c>
      <c r="K11" s="11">
        <v>-1</v>
      </c>
      <c r="L11" s="11"/>
      <c r="M11" s="11">
        <v>42487</v>
      </c>
      <c r="N11" s="12">
        <v>3972.08862</v>
      </c>
      <c r="O11" s="11" t="s">
        <v>17</v>
      </c>
      <c r="P11" s="9">
        <f>Table523[[#This Row],[IT]]/(Table523[[#This Row],[DT]]^(0.001))</f>
        <v>42751.862209248735</v>
      </c>
      <c r="Q11">
        <v>5000</v>
      </c>
      <c r="R11" s="7">
        <f>Table523[[#This Row],[IT]]/Table523[[#This Row],[plot]]</f>
        <v>8.4974000000000007</v>
      </c>
      <c r="S11" s="7">
        <f>Table523[[#This Row],[clock_time]]/60</f>
        <v>66.201476999999997</v>
      </c>
    </row>
    <row r="12" spans="1:19" ht="18" customHeight="1" x14ac:dyDescent="0.2">
      <c r="A12">
        <v>11</v>
      </c>
      <c r="B12" t="s">
        <v>12</v>
      </c>
      <c r="C12">
        <v>2</v>
      </c>
      <c r="D12" t="s">
        <v>13</v>
      </c>
      <c r="E12">
        <v>1000</v>
      </c>
      <c r="F12">
        <v>16</v>
      </c>
      <c r="G12">
        <f>1/Table523[[#This Row],[N]]</f>
        <v>6.25E-2</v>
      </c>
      <c r="H12">
        <f>Table523[[#This Row],[DX]]/1</f>
        <v>6.25E-2</v>
      </c>
      <c r="J12">
        <f>1*Table523[[#This Row],[DT]]/Table523[[#This Row],[DX]]</f>
        <v>0</v>
      </c>
      <c r="K12">
        <v>-1</v>
      </c>
      <c r="N12" s="1"/>
      <c r="O12" t="s">
        <v>17</v>
      </c>
      <c r="P12" t="e">
        <f>Table523[[#This Row],[IT]]/(Table523[[#This Row],[DT]]^(0.001))</f>
        <v>#DIV/0!</v>
      </c>
      <c r="R12" t="e">
        <f>Table523[[#This Row],[IT]]/Table523[[#This Row],[plot]]</f>
        <v>#DIV/0!</v>
      </c>
      <c r="S12">
        <f>Table523[[#This Row],[clock_time]]/60</f>
        <v>0</v>
      </c>
    </row>
    <row r="13" spans="1:19" ht="18" customHeight="1" x14ac:dyDescent="0.2">
      <c r="A13">
        <v>12</v>
      </c>
      <c r="B13" t="s">
        <v>12</v>
      </c>
      <c r="C13">
        <v>2</v>
      </c>
      <c r="D13" t="s">
        <v>13</v>
      </c>
      <c r="E13">
        <v>1000</v>
      </c>
      <c r="F13">
        <v>32</v>
      </c>
      <c r="G13">
        <f>1/Table523[[#This Row],[N]]</f>
        <v>3.125E-2</v>
      </c>
      <c r="H13">
        <f>Table523[[#This Row],[DX]]/1</f>
        <v>3.125E-2</v>
      </c>
      <c r="J13">
        <f>1*Table523[[#This Row],[DT]]/Table523[[#This Row],[DX]]</f>
        <v>0</v>
      </c>
      <c r="K13">
        <v>-1</v>
      </c>
      <c r="N13" s="1"/>
      <c r="O13" t="s">
        <v>17</v>
      </c>
      <c r="P13" t="e">
        <f>Table523[[#This Row],[IT]]/(Table523[[#This Row],[DT]]^(0.001))</f>
        <v>#DIV/0!</v>
      </c>
      <c r="R13" t="e">
        <f>Table523[[#This Row],[IT]]/Table523[[#This Row],[plot]]</f>
        <v>#DIV/0!</v>
      </c>
      <c r="S13">
        <f>Table523[[#This Row],[clock_time]]/60</f>
        <v>0</v>
      </c>
    </row>
    <row r="14" spans="1:19" ht="18" customHeight="1" x14ac:dyDescent="0.2">
      <c r="A14">
        <v>13</v>
      </c>
      <c r="B14" t="s">
        <v>12</v>
      </c>
      <c r="C14">
        <v>2</v>
      </c>
      <c r="D14" t="s">
        <v>13</v>
      </c>
      <c r="E14">
        <v>1000</v>
      </c>
      <c r="F14">
        <v>64</v>
      </c>
      <c r="G14">
        <f>1/Table523[[#This Row],[N]]</f>
        <v>1.5625E-2</v>
      </c>
      <c r="H14">
        <f>Table523[[#This Row],[DX]]/1</f>
        <v>1.5625E-2</v>
      </c>
      <c r="J14">
        <f>1*Table523[[#This Row],[DT]]/Table523[[#This Row],[DX]]</f>
        <v>0</v>
      </c>
      <c r="K14">
        <v>-1</v>
      </c>
      <c r="N14" s="1"/>
      <c r="O14" t="s">
        <v>18</v>
      </c>
      <c r="P14" t="e">
        <f>Table523[[#This Row],[IT]]/(Table523[[#This Row],[DT]]^(0.001))</f>
        <v>#DIV/0!</v>
      </c>
      <c r="R14" t="e">
        <f>Table523[[#This Row],[IT]]/Table523[[#This Row],[plot]]</f>
        <v>#DIV/0!</v>
      </c>
      <c r="S14">
        <f>Table523[[#This Row],[clock_time]]/60</f>
        <v>0</v>
      </c>
    </row>
    <row r="15" spans="1:19" x14ac:dyDescent="0.2">
      <c r="A15">
        <v>14</v>
      </c>
      <c r="B15" t="s">
        <v>12</v>
      </c>
      <c r="C15">
        <v>2</v>
      </c>
      <c r="D15" t="s">
        <v>13</v>
      </c>
      <c r="E15">
        <v>1000</v>
      </c>
      <c r="F15">
        <v>128</v>
      </c>
      <c r="G15">
        <f>1/Table523[[#This Row],[N]]</f>
        <v>7.8125E-3</v>
      </c>
      <c r="H15">
        <f>Table523[[#This Row],[DX]]/1</f>
        <v>7.8125E-3</v>
      </c>
      <c r="J15">
        <f>1*Table523[[#This Row],[DT]]/Table523[[#This Row],[DX]]</f>
        <v>0</v>
      </c>
      <c r="K15">
        <v>-1</v>
      </c>
      <c r="N15" s="1"/>
      <c r="O15" t="s">
        <v>18</v>
      </c>
      <c r="P15" t="e">
        <f>Table523[[#This Row],[IT]]/(Table523[[#This Row],[DT]]^(0.001))</f>
        <v>#DIV/0!</v>
      </c>
      <c r="R15" t="e">
        <f>Table523[[#This Row],[IT]]/Table523[[#This Row],[plot]]</f>
        <v>#DIV/0!</v>
      </c>
      <c r="S15">
        <f>Table523[[#This Row],[clock_time]]/60</f>
        <v>0</v>
      </c>
    </row>
    <row r="16" spans="1:19" s="3" customFormat="1" ht="17" thickBot="1" x14ac:dyDescent="0.25">
      <c r="A16" s="3">
        <v>15</v>
      </c>
      <c r="B16" s="3" t="s">
        <v>12</v>
      </c>
      <c r="C16" s="3">
        <v>2</v>
      </c>
      <c r="D16" s="3" t="s">
        <v>13</v>
      </c>
      <c r="E16" s="3">
        <v>1000</v>
      </c>
      <c r="F16" s="3">
        <v>256</v>
      </c>
      <c r="G16" s="3">
        <f>1/Table523[[#This Row],[N]]</f>
        <v>3.90625E-3</v>
      </c>
      <c r="H16" s="3">
        <f>Table523[[#This Row],[DX]]/1</f>
        <v>3.90625E-3</v>
      </c>
      <c r="J16" s="3">
        <f>1*Table523[[#This Row],[DT]]/Table523[[#This Row],[DX]]</f>
        <v>0</v>
      </c>
      <c r="K16" s="3">
        <v>-1</v>
      </c>
      <c r="N16" s="4"/>
      <c r="O16" s="3" t="s">
        <v>18</v>
      </c>
      <c r="P16" s="3" t="e">
        <f>Table523[[#This Row],[IT]]/(Table523[[#This Row],[DT]]^(0.001))</f>
        <v>#DIV/0!</v>
      </c>
      <c r="Q16"/>
      <c r="R16" s="3" t="e">
        <f>Table523[[#This Row],[IT]]/Table523[[#This Row],[plot]]</f>
        <v>#DIV/0!</v>
      </c>
      <c r="S16" s="3">
        <f>Table523[[#This Row],[clock_time]]/60</f>
        <v>0</v>
      </c>
    </row>
    <row r="17" spans="1:19" x14ac:dyDescent="0.2">
      <c r="A17">
        <v>16</v>
      </c>
      <c r="B17" t="s">
        <v>19</v>
      </c>
      <c r="C17">
        <v>-1</v>
      </c>
      <c r="D17" t="s">
        <v>13</v>
      </c>
      <c r="E17">
        <v>1000</v>
      </c>
      <c r="F17">
        <v>16</v>
      </c>
      <c r="G17">
        <f>1/Table523[[#This Row],[N]]</f>
        <v>6.25E-2</v>
      </c>
      <c r="H17" s="2">
        <v>-1</v>
      </c>
      <c r="I17" s="2">
        <v>-1</v>
      </c>
      <c r="J17" s="2">
        <v>-1</v>
      </c>
      <c r="N17" s="1"/>
      <c r="O17" t="s">
        <v>18</v>
      </c>
      <c r="P17" t="e">
        <f>Table523[[#This Row],[IT]]/(Table523[[#This Row],[DT]]^(0.001))</f>
        <v>#NUM!</v>
      </c>
      <c r="R17" t="e">
        <f>Table523[[#This Row],[IT]]/Table523[[#This Row],[plot]]</f>
        <v>#DIV/0!</v>
      </c>
      <c r="S17">
        <f>Table523[[#This Row],[clock_time]]/60</f>
        <v>0</v>
      </c>
    </row>
    <row r="18" spans="1:19" x14ac:dyDescent="0.2">
      <c r="A18">
        <v>17</v>
      </c>
      <c r="B18" t="s">
        <v>19</v>
      </c>
      <c r="C18">
        <v>-1</v>
      </c>
      <c r="D18" t="s">
        <v>13</v>
      </c>
      <c r="E18">
        <v>1000</v>
      </c>
      <c r="F18">
        <v>32</v>
      </c>
      <c r="G18">
        <f>1/Table523[[#This Row],[N]]</f>
        <v>3.125E-2</v>
      </c>
      <c r="H18" s="5">
        <v>-1</v>
      </c>
      <c r="I18" s="5">
        <v>-1</v>
      </c>
      <c r="J18" s="5">
        <v>-1</v>
      </c>
      <c r="L18" s="1"/>
      <c r="M18" s="1"/>
      <c r="P18" t="e">
        <f>Table523[[#This Row],[IT]]/(Table523[[#This Row],[DT]]^(0.001))</f>
        <v>#NUM!</v>
      </c>
      <c r="R18" t="e">
        <f>Table523[[#This Row],[IT]]/Table523[[#This Row],[plot]]</f>
        <v>#DIV/0!</v>
      </c>
      <c r="S18">
        <f>Table523[[#This Row],[clock_time]]/60</f>
        <v>0</v>
      </c>
    </row>
    <row r="19" spans="1:19" x14ac:dyDescent="0.2">
      <c r="A19">
        <v>18</v>
      </c>
      <c r="B19" t="s">
        <v>19</v>
      </c>
      <c r="C19">
        <v>-1</v>
      </c>
      <c r="D19" t="s">
        <v>13</v>
      </c>
      <c r="E19">
        <v>1000</v>
      </c>
      <c r="F19">
        <v>64</v>
      </c>
      <c r="G19">
        <f>1/Table523[[#This Row],[N]]</f>
        <v>1.5625E-2</v>
      </c>
      <c r="H19" s="2">
        <v>-1</v>
      </c>
      <c r="I19" s="2">
        <v>-1</v>
      </c>
      <c r="J19" s="2">
        <v>-1</v>
      </c>
      <c r="L19" s="1"/>
      <c r="M19" s="1"/>
      <c r="P19" t="e">
        <f>Table523[[#This Row],[IT]]/(Table523[[#This Row],[DT]]^(0.001))</f>
        <v>#NUM!</v>
      </c>
      <c r="R19" t="e">
        <f>Table523[[#This Row],[IT]]/Table523[[#This Row],[plot]]</f>
        <v>#DIV/0!</v>
      </c>
      <c r="S19">
        <f>Table523[[#This Row],[clock_time]]/60</f>
        <v>0</v>
      </c>
    </row>
    <row r="20" spans="1:19" x14ac:dyDescent="0.2">
      <c r="A20">
        <v>19</v>
      </c>
      <c r="B20" t="s">
        <v>19</v>
      </c>
      <c r="C20">
        <v>-1</v>
      </c>
      <c r="D20" t="s">
        <v>13</v>
      </c>
      <c r="E20">
        <v>1000</v>
      </c>
      <c r="F20">
        <v>128</v>
      </c>
      <c r="G20">
        <f>1/Table523[[#This Row],[N]]</f>
        <v>7.8125E-3</v>
      </c>
      <c r="H20" s="5">
        <v>-1</v>
      </c>
      <c r="I20" s="5">
        <v>-1</v>
      </c>
      <c r="J20" s="5">
        <v>-1</v>
      </c>
      <c r="L20" s="1"/>
      <c r="M20" s="1"/>
      <c r="P20" t="e">
        <f>Table523[[#This Row],[IT]]/(Table523[[#This Row],[DT]]^(0.001))</f>
        <v>#NUM!</v>
      </c>
      <c r="R20" t="e">
        <f>Table523[[#This Row],[IT]]/Table523[[#This Row],[plot]]</f>
        <v>#DIV/0!</v>
      </c>
      <c r="S20">
        <f>Table523[[#This Row],[clock_time]]/60</f>
        <v>0</v>
      </c>
    </row>
    <row r="21" spans="1:19" x14ac:dyDescent="0.2">
      <c r="A21">
        <v>20</v>
      </c>
      <c r="B21" t="s">
        <v>19</v>
      </c>
      <c r="C21">
        <v>-1</v>
      </c>
      <c r="D21" t="s">
        <v>13</v>
      </c>
      <c r="E21">
        <v>1000</v>
      </c>
      <c r="F21">
        <v>256</v>
      </c>
      <c r="G21">
        <f>1/Table523[[#This Row],[N]]</f>
        <v>3.90625E-3</v>
      </c>
      <c r="H21" s="2">
        <v>-1</v>
      </c>
      <c r="I21" s="2">
        <v>-1</v>
      </c>
      <c r="J21" s="2">
        <v>-1</v>
      </c>
      <c r="L21" s="1"/>
      <c r="M21" s="1"/>
      <c r="P21" t="e">
        <f>Table523[[#This Row],[IT]]/(Table523[[#This Row],[DT]]^(0.001))</f>
        <v>#NUM!</v>
      </c>
      <c r="R21" t="e">
        <f>Table523[[#This Row],[IT]]/Table523[[#This Row],[plot]]</f>
        <v>#DIV/0!</v>
      </c>
      <c r="S21">
        <f>Table523[[#This Row],[clock_time]]/60</f>
        <v>0</v>
      </c>
    </row>
    <row r="22" spans="1:19" x14ac:dyDescent="0.2">
      <c r="A22">
        <v>21</v>
      </c>
      <c r="B22" t="s">
        <v>19</v>
      </c>
      <c r="C22">
        <v>-1</v>
      </c>
      <c r="D22" t="s">
        <v>16</v>
      </c>
      <c r="E22">
        <v>1000</v>
      </c>
      <c r="F22">
        <v>16</v>
      </c>
      <c r="G22">
        <f>1/Table523[[#This Row],[N]]</f>
        <v>6.25E-2</v>
      </c>
      <c r="H22" s="5">
        <v>-1</v>
      </c>
      <c r="I22" s="5">
        <v>-1</v>
      </c>
      <c r="J22" s="5">
        <v>-1</v>
      </c>
      <c r="L22" s="1"/>
      <c r="M22" s="1"/>
      <c r="P22" t="e">
        <f>Table523[[#This Row],[IT]]/(Table523[[#This Row],[DT]]^(0.001))</f>
        <v>#NUM!</v>
      </c>
      <c r="R22" t="e">
        <f>Table523[[#This Row],[IT]]/Table523[[#This Row],[plot]]</f>
        <v>#DIV/0!</v>
      </c>
      <c r="S22">
        <f>Table523[[#This Row],[clock_time]]/60</f>
        <v>0</v>
      </c>
    </row>
    <row r="23" spans="1:19" x14ac:dyDescent="0.2">
      <c r="A23">
        <v>22</v>
      </c>
      <c r="B23" t="s">
        <v>19</v>
      </c>
      <c r="C23">
        <v>-1</v>
      </c>
      <c r="D23" t="s">
        <v>16</v>
      </c>
      <c r="E23">
        <v>1000</v>
      </c>
      <c r="F23">
        <v>32</v>
      </c>
      <c r="G23">
        <f>1/Table523[[#This Row],[N]]</f>
        <v>3.125E-2</v>
      </c>
      <c r="H23" s="2">
        <v>-1</v>
      </c>
      <c r="I23" s="2">
        <v>-1</v>
      </c>
      <c r="J23" s="2">
        <v>-1</v>
      </c>
      <c r="L23" s="1"/>
      <c r="M23" s="1"/>
      <c r="P23" t="e">
        <f>Table523[[#This Row],[IT]]/(Table523[[#This Row],[DT]]^(0.001))</f>
        <v>#NUM!</v>
      </c>
      <c r="R23" t="e">
        <f>Table523[[#This Row],[IT]]/Table523[[#This Row],[plot]]</f>
        <v>#DIV/0!</v>
      </c>
      <c r="S23">
        <f>Table523[[#This Row],[clock_time]]/60</f>
        <v>0</v>
      </c>
    </row>
    <row r="24" spans="1:19" x14ac:dyDescent="0.2">
      <c r="A24">
        <v>23</v>
      </c>
      <c r="B24" t="s">
        <v>19</v>
      </c>
      <c r="C24">
        <v>-1</v>
      </c>
      <c r="D24" t="s">
        <v>16</v>
      </c>
      <c r="E24">
        <v>1000</v>
      </c>
      <c r="F24">
        <v>64</v>
      </c>
      <c r="G24">
        <f>1/Table523[[#This Row],[N]]</f>
        <v>1.5625E-2</v>
      </c>
      <c r="H24" s="5">
        <v>-1</v>
      </c>
      <c r="I24" s="5">
        <v>-1</v>
      </c>
      <c r="J24" s="5">
        <v>-1</v>
      </c>
      <c r="L24" s="1"/>
      <c r="M24" s="1"/>
      <c r="P24" t="e">
        <f>Table523[[#This Row],[IT]]/(Table523[[#This Row],[DT]]^(0.001))</f>
        <v>#NUM!</v>
      </c>
      <c r="R24" t="e">
        <f>Table523[[#This Row],[IT]]/Table523[[#This Row],[plot]]</f>
        <v>#DIV/0!</v>
      </c>
      <c r="S24">
        <f>Table523[[#This Row],[clock_time]]/60</f>
        <v>0</v>
      </c>
    </row>
    <row r="25" spans="1:19" x14ac:dyDescent="0.2">
      <c r="A25">
        <v>24</v>
      </c>
      <c r="B25" t="s">
        <v>19</v>
      </c>
      <c r="C25">
        <v>-1</v>
      </c>
      <c r="D25" t="s">
        <v>16</v>
      </c>
      <c r="E25">
        <v>1000</v>
      </c>
      <c r="F25">
        <v>128</v>
      </c>
      <c r="G25">
        <f>1/Table523[[#This Row],[N]]</f>
        <v>7.8125E-3</v>
      </c>
      <c r="H25" s="2">
        <v>-1</v>
      </c>
      <c r="I25" s="2">
        <v>-1</v>
      </c>
      <c r="J25" s="2">
        <v>-1</v>
      </c>
      <c r="L25" s="1"/>
      <c r="M25" s="1"/>
      <c r="P25" t="e">
        <f>Table523[[#This Row],[IT]]/(Table523[[#This Row],[DT]]^(0.001))</f>
        <v>#NUM!</v>
      </c>
      <c r="R25" t="e">
        <f>Table523[[#This Row],[IT]]/Table523[[#This Row],[plot]]</f>
        <v>#DIV/0!</v>
      </c>
      <c r="S25">
        <f>Table523[[#This Row],[clock_time]]/60</f>
        <v>0</v>
      </c>
    </row>
    <row r="26" spans="1:19" x14ac:dyDescent="0.2">
      <c r="A26">
        <v>25</v>
      </c>
      <c r="B26" t="s">
        <v>19</v>
      </c>
      <c r="C26">
        <v>-1</v>
      </c>
      <c r="D26" t="s">
        <v>16</v>
      </c>
      <c r="E26">
        <v>1000</v>
      </c>
      <c r="F26">
        <v>256</v>
      </c>
      <c r="G26">
        <f>1/Table523[[#This Row],[N]]</f>
        <v>3.90625E-3</v>
      </c>
      <c r="H26" s="5">
        <v>-1</v>
      </c>
      <c r="I26" s="5">
        <v>-1</v>
      </c>
      <c r="J26" s="5">
        <v>-1</v>
      </c>
      <c r="L26" s="1"/>
      <c r="M26" s="1"/>
      <c r="P26" t="e">
        <f>Table523[[#This Row],[IT]]/(Table523[[#This Row],[DT]]^(0.001))</f>
        <v>#NUM!</v>
      </c>
      <c r="R26" t="e">
        <f>Table523[[#This Row],[IT]]/Table523[[#This Row],[plot]]</f>
        <v>#DIV/0!</v>
      </c>
      <c r="S26">
        <f>Table523[[#This Row],[clock_time]]/60</f>
        <v>0</v>
      </c>
    </row>
    <row r="27" spans="1:19" x14ac:dyDescent="0.2">
      <c r="H27"/>
      <c r="L27" s="1"/>
      <c r="M27" s="1"/>
      <c r="P27" t="e">
        <f>Table523[[#This Row],[IT]]/(Table523[[#This Row],[DT]]^(0.001))</f>
        <v>#DIV/0!</v>
      </c>
      <c r="R27" t="e">
        <f>Table523[[#This Row],[IT]]/Table523[[#This Row],[plot]]</f>
        <v>#DIV/0!</v>
      </c>
      <c r="S27">
        <f>Table523[[#This Row],[clock_time]]/60</f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Shen</dc:creator>
  <cp:lastModifiedBy>Anna Shen</cp:lastModifiedBy>
  <dcterms:created xsi:type="dcterms:W3CDTF">2026-03-27T21:42:05Z</dcterms:created>
  <dcterms:modified xsi:type="dcterms:W3CDTF">2026-04-01T06:02:58Z</dcterms:modified>
</cp:coreProperties>
</file>