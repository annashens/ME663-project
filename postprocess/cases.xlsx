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8_{05523EA5-9B93-A840-9090-CBFD9100858D}" xr6:coauthVersionLast="47" xr6:coauthVersionMax="47" xr10:uidLastSave="{00000000-0000-0000-0000-000000000000}"/>
  <bookViews>
    <workbookView xWindow="1100" yWindow="700" windowWidth="25940" windowHeight="16860" xr2:uid="{4FFFDDBB-3764-044A-A563-7130C269BFF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1" l="1"/>
  <c r="R25" i="1"/>
  <c r="P25" i="1"/>
  <c r="J25" i="1"/>
  <c r="G25" i="1"/>
  <c r="H25" i="1" s="1"/>
  <c r="P19" i="1"/>
  <c r="S20" i="1"/>
  <c r="R20" i="1"/>
  <c r="P20" i="1"/>
  <c r="G20" i="1"/>
  <c r="J20" i="1" s="1"/>
  <c r="P18" i="1"/>
  <c r="P21" i="1"/>
  <c r="P22" i="1"/>
  <c r="P23" i="1"/>
  <c r="P24" i="1"/>
  <c r="R18" i="1"/>
  <c r="R19" i="1"/>
  <c r="P14" i="1"/>
  <c r="G22" i="1"/>
  <c r="H22" i="1" s="1"/>
  <c r="R22" i="1"/>
  <c r="S22" i="1"/>
  <c r="G23" i="1"/>
  <c r="J23" i="1" s="1"/>
  <c r="R23" i="1"/>
  <c r="S23" i="1"/>
  <c r="G24" i="1"/>
  <c r="H24" i="1" s="1"/>
  <c r="R24" i="1"/>
  <c r="S24" i="1"/>
  <c r="G18" i="1"/>
  <c r="H18" i="1" s="1"/>
  <c r="S18" i="1"/>
  <c r="G19" i="1"/>
  <c r="H19" i="1" s="1"/>
  <c r="S19" i="1"/>
  <c r="G17" i="1"/>
  <c r="H17" i="1" s="1"/>
  <c r="P17" i="1"/>
  <c r="R17" i="1"/>
  <c r="S17" i="1"/>
  <c r="G21" i="1"/>
  <c r="H21" i="1" s="1"/>
  <c r="R21" i="1"/>
  <c r="S21" i="1"/>
  <c r="S26" i="1"/>
  <c r="R26" i="1"/>
  <c r="P26" i="1"/>
  <c r="G26" i="1"/>
  <c r="J26" i="1" s="1"/>
  <c r="P2" i="1"/>
  <c r="P3" i="1"/>
  <c r="P4" i="1"/>
  <c r="P5" i="1"/>
  <c r="P6" i="1"/>
  <c r="P7" i="1"/>
  <c r="P8" i="1"/>
  <c r="P9" i="1"/>
  <c r="P10" i="1"/>
  <c r="P11" i="1"/>
  <c r="P12" i="1"/>
  <c r="P13" i="1"/>
  <c r="P15" i="1"/>
  <c r="P16" i="1"/>
  <c r="P27" i="1"/>
  <c r="P28" i="1"/>
  <c r="P29" i="1"/>
  <c r="P30" i="1"/>
  <c r="P31" i="1"/>
  <c r="P32" i="1"/>
  <c r="P33" i="1"/>
  <c r="P34" i="1"/>
  <c r="P35" i="1"/>
  <c r="P36" i="1"/>
  <c r="P37" i="1"/>
  <c r="P38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27" i="1"/>
  <c r="S28" i="1"/>
  <c r="S29" i="1"/>
  <c r="S30" i="1"/>
  <c r="S31" i="1"/>
  <c r="S32" i="1"/>
  <c r="S33" i="1"/>
  <c r="S34" i="1"/>
  <c r="S35" i="1"/>
  <c r="S36" i="1"/>
  <c r="S37" i="1"/>
  <c r="S38" i="1"/>
  <c r="R14" i="1"/>
  <c r="G14" i="1"/>
  <c r="H14" i="1" s="1"/>
  <c r="R38" i="1"/>
  <c r="G38" i="1"/>
  <c r="J38" i="1" s="1"/>
  <c r="R37" i="1"/>
  <c r="G37" i="1"/>
  <c r="J37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R2" i="1"/>
  <c r="R3" i="1"/>
  <c r="R4" i="1"/>
  <c r="R5" i="1"/>
  <c r="R6" i="1"/>
  <c r="R7" i="1"/>
  <c r="R8" i="1"/>
  <c r="R9" i="1"/>
  <c r="R10" i="1"/>
  <c r="R11" i="1"/>
  <c r="R12" i="1"/>
  <c r="R13" i="1"/>
  <c r="R15" i="1"/>
  <c r="R16" i="1"/>
  <c r="R27" i="1"/>
  <c r="R28" i="1"/>
  <c r="R29" i="1"/>
  <c r="R30" i="1"/>
  <c r="R31" i="1"/>
  <c r="R32" i="1"/>
  <c r="R33" i="1"/>
  <c r="R34" i="1"/>
  <c r="R35" i="1"/>
  <c r="R36" i="1"/>
  <c r="G28" i="1"/>
  <c r="G29" i="1"/>
  <c r="G30" i="1"/>
  <c r="G31" i="1"/>
  <c r="G32" i="1"/>
  <c r="G33" i="1"/>
  <c r="G34" i="1"/>
  <c r="G35" i="1"/>
  <c r="G36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H20" i="1" l="1"/>
  <c r="J19" i="1"/>
  <c r="H23" i="1"/>
  <c r="J22" i="1"/>
  <c r="J24" i="1"/>
  <c r="J18" i="1"/>
  <c r="J21" i="1"/>
  <c r="J17" i="1"/>
  <c r="H26" i="1"/>
  <c r="J14" i="1"/>
  <c r="H38" i="1"/>
  <c r="H37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</calcChain>
</file>

<file path=xl/sharedStrings.xml><?xml version="1.0" encoding="utf-8"?>
<sst xmlns="http://schemas.openxmlformats.org/spreadsheetml/2006/main" count="196" uniqueCount="28">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</sst>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1" fillId="4" borderId="1" xfId="0" applyFont="1" applyFill="1" applyBorder="1"/>
    <xf numFmtId="0" fontId="1" fillId="5" borderId="1" xfId="0" applyFont="1" applyFill="1" applyBorder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S38" totalsRowShown="0">
  <autoFilter ref="A1:S38" xr:uid="{1262BF81-760A-7144-97B7-D76DB2B84840}"/>
  <tableColumns count="19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19">
      <calculatedColumnFormula>1/Table52[[#This Row],[N]]</calculatedColumnFormula>
    </tableColumn>
    <tableColumn id="6" xr3:uid="{41134D54-A4BA-874E-976C-009F5555A5F2}" name="DT_MAX" dataDxfId="1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17">
      <calculatedColumnFormula>1*Table52[[#This Row],[DT]]/Table52[[#This Row],[DX]]</calculatedColumnFormula>
    </tableColumn>
    <tableColumn id="16" xr3:uid="{57BAD542-64CC-254E-88F0-83BA2685E4ED}" name="URF" dataDxfId="16"/>
    <tableColumn id="9" xr3:uid="{CF78813F-1FCF-E643-8377-72AF6325BEEE}" name="diverging_factor" dataDxfId="15"/>
    <tableColumn id="25" xr3:uid="{B19A7E44-6A26-8B41-BA69-77F75344DEA3}" name="IT" dataDxfId="1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13">
      <calculatedColumnFormula>2.5/Table52[[#This Row],[DT]]</calculatedColumnFormula>
    </tableColumn>
    <tableColumn id="14" xr3:uid="{04DFDB2B-B2EB-2143-A2BD-C078D341F02C}" name="plot" dataDxfId="12"/>
    <tableColumn id="15" xr3:uid="{2C94A75A-643C-AB4F-B973-F132BD67C52D}" name="Coldumn3" dataDxfId="11">
      <calculatedColumnFormula>Table52[[#This Row],[IT]]/Table52[[#This Row],[plot]]</calculatedColumnFormula>
    </tableColumn>
    <tableColumn id="3" xr3:uid="{4E3C3F99-0854-E448-B822-ED1CAF3861A9}" name="Time (min)" dataDxfId="1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9">
      <calculatedColumnFormula>1/Table523[[#This Row],[N]]</calculatedColumnFormula>
    </tableColumn>
    <tableColumn id="6" xr3:uid="{67B863EC-1E80-594A-8E8C-A8AB6A765A5B}" name="DT_MAX" dataDxfId="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7">
      <calculatedColumnFormula>1*Table523[[#This Row],[DT]]/Table523[[#This Row],[DX]]</calculatedColumnFormula>
    </tableColumn>
    <tableColumn id="16" xr3:uid="{18D7BD5A-213F-BD40-97BA-0D536A04F891}" name="URF" dataDxfId="6"/>
    <tableColumn id="9" xr3:uid="{798FE19B-9189-494F-A3BB-310F03005E42}" name="diverging_factor" dataDxfId="5"/>
    <tableColumn id="25" xr3:uid="{FDF5445A-F7EE-1F4D-9905-BD45A45BD22B}" name="IT" dataDxfId="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3">
      <calculatedColumnFormula>Table523[[#This Row],[IT]]/(Table523[[#This Row],[DT]]^(0.001))</calculatedColumnFormula>
    </tableColumn>
    <tableColumn id="14" xr3:uid="{25F9EF5E-5623-9348-AFD3-BE21DEB4A0B1}" name="plot" dataDxfId="2"/>
    <tableColumn id="15" xr3:uid="{6C6DB161-08C1-8C41-8D04-DBB62D987A88}" name="Coldumn3" dataDxfId="1">
      <calculatedColumnFormula>Table523[[#This Row],[IT]]/Table523[[#This Row],[plot]]</calculatedColumnFormula>
    </tableColumn>
    <tableColumn id="3" xr3:uid="{8D89A138-3ECA-4F4F-8AE2-5ED05E63F0B1}" name="Coldumn4" dataDxfId="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S38"/>
  <sheetViews>
    <sheetView tabSelected="1" topLeftCell="A5" zoomScale="107" workbookViewId="0">
      <selection activeCell="F24" sqref="F24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27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2.5/Table52[[#This Row],[DT]]</f>
        <v>16.666666666666668</v>
      </c>
      <c r="Q2">
        <v>25</v>
      </c>
      <c r="R2">
        <f>Table52[[#This Row],[IT]]/Table52[[#This Row],[plot]]</f>
        <v>10.4</v>
      </c>
      <c r="S2">
        <f>Table52[[#This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2.5/Table52[[#This Row],[DT]]</f>
        <v>50</v>
      </c>
      <c r="Q3">
        <v>100</v>
      </c>
      <c r="R3">
        <f>Table52[[#This Row],[IT]]/Table52[[#This Row],[plot]]</f>
        <v>8.6</v>
      </c>
      <c r="S3">
        <f>Table52[[#This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1/Table52[[#This Row],[N]]</f>
        <v>1.5625E-2</v>
      </c>
      <c r="H4">
        <f>Table52[[#This Row],[DX]]/1</f>
        <v>1.5625E-2</v>
      </c>
      <c r="I4">
        <v>1.4999999999999999E-2</v>
      </c>
      <c r="J4">
        <f>1*Table52[[#This Row],[DT]]/Table52[[#This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2.5/Table52[[#This Row],[DT]]</f>
        <v>166.66666666666669</v>
      </c>
      <c r="Q4">
        <v>250</v>
      </c>
      <c r="R4">
        <f>Table52[[#This Row],[IT]]/Table52[[#This Row],[plot]]</f>
        <v>13.288</v>
      </c>
      <c r="S4">
        <f>Table52[[#This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2.5/Table52[[#This Row],[DT]]</f>
        <v>500</v>
      </c>
      <c r="Q5">
        <v>1000</v>
      </c>
      <c r="R5">
        <f>Table52[[#This Row],[IT]]/Table52[[#This Row],[plot]]</f>
        <v>11.952</v>
      </c>
      <c r="S5">
        <f>Table52[[#This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2.5/Table52[[#This Row],[DT]]</f>
        <v>1666.6666666666667</v>
      </c>
      <c r="Q6">
        <v>5000</v>
      </c>
      <c r="R6">
        <f>Table52[[#This Row],[IT]]/Table52[[#This Row],[plot]]</f>
        <v>8.7672000000000008</v>
      </c>
      <c r="S6">
        <f>Table52[[#This Row],[clock_time]]/60</f>
        <v>56.564599666666666</v>
      </c>
    </row>
    <row r="7" spans="1:19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K7">
        <v>-1</v>
      </c>
      <c r="L7">
        <v>0.15</v>
      </c>
      <c r="M7">
        <v>675</v>
      </c>
      <c r="N7" s="1">
        <v>0.43378701800000002</v>
      </c>
      <c r="O7" t="s">
        <v>15</v>
      </c>
      <c r="P7">
        <f>2.5/Table52[[#This Row],[DT]]</f>
        <v>25</v>
      </c>
      <c r="Q7">
        <v>50</v>
      </c>
      <c r="R7">
        <f>Table52[[#This Row],[IT]]/Table52[[#This Row],[plot]]</f>
        <v>13.5</v>
      </c>
      <c r="S7">
        <f>Table52[[#This Row],[clock_time]]/60</f>
        <v>7.2297836333333337E-3</v>
      </c>
    </row>
    <row r="8" spans="1:19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K8">
        <v>-1</v>
      </c>
      <c r="L8">
        <v>0.05</v>
      </c>
      <c r="M8">
        <v>1941</v>
      </c>
      <c r="N8" s="1">
        <v>4.5700812300000004</v>
      </c>
      <c r="O8" t="s">
        <v>15</v>
      </c>
      <c r="P8">
        <f>2.5/Table52[[#This Row],[DT]]</f>
        <v>100</v>
      </c>
      <c r="Q8">
        <v>250</v>
      </c>
      <c r="R8">
        <f>Table52[[#This Row],[IT]]/Table52[[#This Row],[plot]]</f>
        <v>7.7640000000000002</v>
      </c>
      <c r="S8">
        <f>Table52[[#This Row],[clock_time]]/60</f>
        <v>7.6168020500000003E-2</v>
      </c>
    </row>
    <row r="9" spans="1:19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K9">
        <v>-1</v>
      </c>
      <c r="L9">
        <v>0.02</v>
      </c>
      <c r="M9">
        <v>4202</v>
      </c>
      <c r="N9" s="1">
        <v>61.105514499999998</v>
      </c>
      <c r="O9" t="s">
        <v>15</v>
      </c>
      <c r="P9">
        <f>2.5/Table52[[#This Row],[DT]]</f>
        <v>166.66666666666669</v>
      </c>
      <c r="Q9">
        <v>500</v>
      </c>
      <c r="R9">
        <f>Table52[[#This Row],[IT]]/Table52[[#This Row],[plot]]</f>
        <v>8.4039999999999999</v>
      </c>
      <c r="S9">
        <f>Table52[[#This Row],[clock_time]]/60</f>
        <v>1.0184252416666666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K10">
        <v>-1</v>
      </c>
      <c r="M10">
        <v>11902</v>
      </c>
      <c r="N10" s="1">
        <v>567.30658000000005</v>
      </c>
      <c r="O10" t="s">
        <v>17</v>
      </c>
      <c r="P10">
        <f>2.5/Table52[[#This Row],[DT]]</f>
        <v>333.33333333333337</v>
      </c>
      <c r="Q10">
        <v>1000</v>
      </c>
      <c r="R10">
        <f>Table52[[#This Row],[IT]]/Table52[[#This Row],[plot]]</f>
        <v>11.901999999999999</v>
      </c>
      <c r="S10">
        <f>Table52[[#This Row],[clock_time]]/60</f>
        <v>9.455109666666667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2.5/Table52[[#This Row],[DT]]</f>
        <v>1250</v>
      </c>
      <c r="Q11">
        <v>5000</v>
      </c>
      <c r="R11" s="7">
        <f>Table52[[#This Row],[IT]]/Table52[[#This Row],[plot]]</f>
        <v>8.4974000000000007</v>
      </c>
      <c r="S11" s="7">
        <f>Table52[[#This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K12">
        <v>-1</v>
      </c>
      <c r="L12">
        <v>0.2</v>
      </c>
      <c r="M12">
        <v>259</v>
      </c>
      <c r="N12" s="1">
        <v>0.234771013</v>
      </c>
      <c r="O12" t="s">
        <v>17</v>
      </c>
      <c r="P12">
        <f>2.5/Table52[[#This Row],[DT]]</f>
        <v>16.666666666666668</v>
      </c>
      <c r="Q12">
        <v>25</v>
      </c>
      <c r="R12">
        <f>Table52[[#This Row],[IT]]/Table52[[#This Row],[plot]]</f>
        <v>10.36</v>
      </c>
      <c r="S12">
        <f>Table52[[#This Row],[clock_time]]/60</f>
        <v>3.9128502166666671E-3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K13">
        <v>-1</v>
      </c>
      <c r="M13">
        <v>857</v>
      </c>
      <c r="N13" s="1">
        <v>3.7937221499999998</v>
      </c>
      <c r="O13" t="s">
        <v>17</v>
      </c>
      <c r="P13">
        <f>2.5/Table52[[#This Row],[DT]]</f>
        <v>50</v>
      </c>
      <c r="Q13">
        <v>100</v>
      </c>
      <c r="R13">
        <f>Table52[[#This Row],[IT]]/Table52[[#This Row],[plot]]</f>
        <v>8.57</v>
      </c>
      <c r="S13">
        <f>Table52[[#This Row],[clock_time]]/60</f>
        <v>6.3228702499999997E-2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K14">
        <v>-1</v>
      </c>
      <c r="L14" s="1"/>
      <c r="M14" s="1">
        <v>332</v>
      </c>
      <c r="N14" s="1">
        <v>43.591610000000003</v>
      </c>
      <c r="O14" t="s">
        <v>18</v>
      </c>
      <c r="P14">
        <f>2.5/Table52[[#This Row],[DT]]</f>
        <v>166.66666666666669</v>
      </c>
      <c r="Q14">
        <v>250</v>
      </c>
      <c r="R14">
        <f>Table52[[#This Row],[IT]]/Table52[[#This Row],[plot]]</f>
        <v>1.3280000000000001</v>
      </c>
      <c r="S14">
        <f>Table52[[#This Row],[clock_time]]/60</f>
        <v>0.72652683333333334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K15">
        <v>-1</v>
      </c>
      <c r="M15">
        <v>11952</v>
      </c>
      <c r="N15" s="1">
        <v>392.12469499999997</v>
      </c>
      <c r="O15" t="s">
        <v>18</v>
      </c>
      <c r="P15">
        <f>2.5/Table52[[#This Row],[DT]]</f>
        <v>500</v>
      </c>
      <c r="Q15">
        <v>1000</v>
      </c>
      <c r="R15">
        <f>Table52[[#This Row],[IT]]/Table52[[#This Row],[plot]]</f>
        <v>11.952</v>
      </c>
      <c r="S15">
        <f>Table52[[#This Row],[clock_time]]/60</f>
        <v>6.5354115833333326</v>
      </c>
    </row>
    <row r="16" spans="1:19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K16" s="13">
        <v>-1</v>
      </c>
      <c r="N16" s="14"/>
      <c r="O16" s="13" t="s">
        <v>18</v>
      </c>
      <c r="P16" s="13" t="e">
        <f>2.5/Table52[[#This Row],[DT]]</f>
        <v>#DIV/0!</v>
      </c>
      <c r="Q16">
        <v>5000</v>
      </c>
      <c r="R16" s="13">
        <f>Table52[[#This Row],[IT]]/Table52[[#This Row],[plot]]</f>
        <v>0</v>
      </c>
      <c r="S16" s="13">
        <f>Table52[[#This Row],[clock_time]]/60</f>
        <v>0</v>
      </c>
    </row>
    <row r="17" spans="1:19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L17" s="1"/>
      <c r="M17" s="1">
        <v>4202</v>
      </c>
      <c r="N17" s="1">
        <v>64.518783600000006</v>
      </c>
      <c r="P17">
        <f>2.5/Table52[[#This Row],[DT]]</f>
        <v>166.66666666666669</v>
      </c>
      <c r="Q17">
        <v>500</v>
      </c>
      <c r="R17">
        <f>Table52[[#This Row],[IT]]/Table52[[#This Row],[plot]]</f>
        <v>8.4039999999999999</v>
      </c>
      <c r="S17">
        <f>Table52[[#This Row],[clock_time]]/60</f>
        <v>1.07531306</v>
      </c>
    </row>
    <row r="18" spans="1:19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L18" s="1"/>
      <c r="M18" s="1">
        <v>5552</v>
      </c>
      <c r="N18" s="1">
        <v>48.560310399999999</v>
      </c>
      <c r="P18">
        <f>2.5/Table52[[#This Row],[DT]]</f>
        <v>250</v>
      </c>
      <c r="Q18">
        <v>750</v>
      </c>
      <c r="R18">
        <f>Table52[[#This Row],[IT]]/Table52[[#This Row],[plot]]</f>
        <v>7.4026666666666667</v>
      </c>
      <c r="S18">
        <f>Table52[[#This Row],[clock_time]]/60</f>
        <v>0.80933850666666662</v>
      </c>
    </row>
    <row r="19" spans="1:19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L19" s="1"/>
      <c r="M19" s="1">
        <v>9328</v>
      </c>
      <c r="N19" s="1">
        <v>34.663536100000002</v>
      </c>
      <c r="P19">
        <f>2.5/Table52[[#This Row],[DT]]</f>
        <v>500</v>
      </c>
      <c r="Q19">
        <v>1000</v>
      </c>
      <c r="R19">
        <f>Table52[[#This Row],[IT]]/Table52[[#This Row],[plot]]</f>
        <v>9.3279999999999994</v>
      </c>
      <c r="S19">
        <f>Table52[[#This Row],[clock_time]]/60</f>
        <v>0.57772560166666664</v>
      </c>
    </row>
    <row r="20" spans="1:19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L20" s="1"/>
      <c r="M20" s="1">
        <v>35260</v>
      </c>
      <c r="N20" s="1">
        <v>47.817623099999999</v>
      </c>
      <c r="P20">
        <f>2.5/Table52[[#This Row],[DT]]</f>
        <v>2500</v>
      </c>
      <c r="Q20">
        <v>5000</v>
      </c>
      <c r="R20">
        <f>Table52[[#This Row],[IT]]/Table52[[#This Row],[plot]]</f>
        <v>7.0519999999999996</v>
      </c>
      <c r="S20">
        <f>Table52[[#This Row],[clock_time]]/60</f>
        <v>0.79696038499999999</v>
      </c>
    </row>
    <row r="21" spans="1:19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L21" s="8"/>
      <c r="M21" s="8">
        <v>63517</v>
      </c>
      <c r="N21" s="8">
        <v>76.141212499999995</v>
      </c>
      <c r="P21">
        <f>2.5/Table52[[#This Row],[DT]]</f>
        <v>5000</v>
      </c>
      <c r="Q21" s="7">
        <v>15000</v>
      </c>
      <c r="R21" s="7">
        <f>Table52[[#This Row],[IT]]/Table52[[#This Row],[plot]]</f>
        <v>4.234466666666667</v>
      </c>
      <c r="S21" s="7">
        <f>Table52[[#This Row],[clock_time]]/60</f>
        <v>1.2690202083333333</v>
      </c>
    </row>
    <row r="22" spans="1:19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L22" s="1"/>
      <c r="M22" s="1">
        <v>4190</v>
      </c>
      <c r="N22" s="1">
        <v>58.056365999999997</v>
      </c>
      <c r="P22">
        <f>2.5/Table52[[#This Row],[DT]]</f>
        <v>166.66666666666669</v>
      </c>
      <c r="Q22">
        <v>500</v>
      </c>
      <c r="R22">
        <f>Table52[[#This Row],[IT]]/Table52[[#This Row],[plot]]</f>
        <v>8.3800000000000008</v>
      </c>
      <c r="S22">
        <f>Table52[[#This Row],[clock_time]]/60</f>
        <v>0.96760609999999991</v>
      </c>
    </row>
    <row r="23" spans="1:19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L23" s="1"/>
      <c r="M23" s="1">
        <v>5551</v>
      </c>
      <c r="N23" s="1">
        <v>49.9791794</v>
      </c>
      <c r="P23">
        <f>2.5/Table52[[#This Row],[DT]]</f>
        <v>250</v>
      </c>
      <c r="Q23">
        <v>750</v>
      </c>
      <c r="R23">
        <f>Table52[[#This Row],[IT]]/Table52[[#This Row],[plot]]</f>
        <v>7.4013333333333335</v>
      </c>
      <c r="S23">
        <f>Table52[[#This Row],[clock_time]]/60</f>
        <v>0.83298632333333333</v>
      </c>
    </row>
    <row r="24" spans="1:19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L24" s="1"/>
      <c r="M24" s="1">
        <v>9339</v>
      </c>
      <c r="N24" s="1">
        <v>35.158287000000001</v>
      </c>
      <c r="P24">
        <f>2.5/Table52[[#This Row],[DT]]</f>
        <v>500</v>
      </c>
      <c r="Q24">
        <v>1000</v>
      </c>
      <c r="R24">
        <f>Table52[[#This Row],[IT]]/Table52[[#This Row],[plot]]</f>
        <v>9.3390000000000004</v>
      </c>
      <c r="S24">
        <f>Table52[[#This Row],[clock_time]]/60</f>
        <v>0.58597145000000006</v>
      </c>
    </row>
    <row r="25" spans="1:19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L25" s="1"/>
      <c r="M25" s="1">
        <v>35262</v>
      </c>
      <c r="N25" s="1">
        <v>46.530872299999999</v>
      </c>
      <c r="P25">
        <f>2.5/Table52[[#This Row],[DT]]</f>
        <v>2500</v>
      </c>
      <c r="Q25">
        <v>5000</v>
      </c>
      <c r="R25">
        <f>Table52[[#This Row],[IT]]/Table52[[#This Row],[plot]]</f>
        <v>7.0523999999999996</v>
      </c>
      <c r="S25">
        <f>Table52[[#This Row],[clock_time]]/60</f>
        <v>0.77551453833333328</v>
      </c>
    </row>
    <row r="26" spans="1:19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L26" s="1"/>
      <c r="M26" s="1">
        <v>63500</v>
      </c>
      <c r="N26" s="1">
        <v>77.783943199999996</v>
      </c>
      <c r="P26">
        <f>2.5/Table52[[#This Row],[DT]]</f>
        <v>5000</v>
      </c>
      <c r="Q26" s="7">
        <v>15000</v>
      </c>
      <c r="R26">
        <f>Table52[[#This Row],[IT]]/Table52[[#This Row],[plot]]</f>
        <v>4.2333333333333334</v>
      </c>
      <c r="S26">
        <f>Table52[[#This Row],[clock_time]]/60</f>
        <v>1.2963990533333332</v>
      </c>
    </row>
    <row r="27" spans="1:19" s="9" customFormat="1" x14ac:dyDescent="0.2">
      <c r="A27">
        <v>24</v>
      </c>
      <c r="B27" s="9" t="s">
        <v>19</v>
      </c>
      <c r="C27" s="9">
        <v>-1</v>
      </c>
      <c r="D27" s="9" t="s">
        <v>13</v>
      </c>
      <c r="E27" s="9">
        <v>1000</v>
      </c>
      <c r="F27" s="9">
        <v>16</v>
      </c>
      <c r="G27" s="9">
        <f>1/Table52[[#This Row],[N]]</f>
        <v>6.25E-2</v>
      </c>
      <c r="H27" s="15">
        <v>-1</v>
      </c>
      <c r="I27" s="15">
        <v>-1</v>
      </c>
      <c r="J27" s="15">
        <v>-1</v>
      </c>
      <c r="N27" s="10"/>
      <c r="O27" s="9" t="s">
        <v>18</v>
      </c>
      <c r="P27" s="9">
        <f>2.5/Table52[[#This Row],[DT]]</f>
        <v>-2.5</v>
      </c>
      <c r="R27" s="9" t="e">
        <f>Table52[[#This Row],[IT]]/Table52[[#This Row],[plot]]</f>
        <v>#DIV/0!</v>
      </c>
      <c r="S27" s="9">
        <f>Table52[[#This Row],[clock_time]]/60</f>
        <v>0</v>
      </c>
    </row>
    <row r="28" spans="1:19" s="9" customFormat="1" x14ac:dyDescent="0.2">
      <c r="A28">
        <v>25</v>
      </c>
      <c r="B28" s="9" t="s">
        <v>19</v>
      </c>
      <c r="C28" s="9">
        <v>-1</v>
      </c>
      <c r="D28" s="9" t="s">
        <v>13</v>
      </c>
      <c r="E28" s="9">
        <v>1000</v>
      </c>
      <c r="F28" s="9">
        <v>32</v>
      </c>
      <c r="G28" s="9">
        <f>1/Table52[[#This Row],[N]]</f>
        <v>3.125E-2</v>
      </c>
      <c r="H28" s="16">
        <v>-1</v>
      </c>
      <c r="I28" s="16">
        <v>-1</v>
      </c>
      <c r="J28" s="16">
        <v>-1</v>
      </c>
      <c r="L28" s="10"/>
      <c r="M28" s="10"/>
      <c r="P28" s="9">
        <f>2.5/Table52[[#This Row],[DT]]</f>
        <v>-2.5</v>
      </c>
      <c r="R28" s="9" t="e">
        <f>Table52[[#This Row],[IT]]/Table52[[#This Row],[plot]]</f>
        <v>#DIV/0!</v>
      </c>
      <c r="S28" s="9">
        <f>Table52[[#This Row],[clock_time]]/60</f>
        <v>0</v>
      </c>
    </row>
    <row r="29" spans="1:19" s="9" customFormat="1" x14ac:dyDescent="0.2">
      <c r="A29">
        <v>26</v>
      </c>
      <c r="B29" s="9" t="s">
        <v>19</v>
      </c>
      <c r="C29" s="9">
        <v>-1</v>
      </c>
      <c r="D29" s="9" t="s">
        <v>13</v>
      </c>
      <c r="E29" s="9">
        <v>1000</v>
      </c>
      <c r="F29" s="9">
        <v>64</v>
      </c>
      <c r="G29" s="9">
        <f>1/Table52[[#This Row],[N]]</f>
        <v>1.5625E-2</v>
      </c>
      <c r="H29" s="15">
        <v>-1</v>
      </c>
      <c r="I29" s="15">
        <v>-1</v>
      </c>
      <c r="J29" s="15">
        <v>-1</v>
      </c>
      <c r="L29" s="10"/>
      <c r="M29" s="10"/>
      <c r="P29" s="9">
        <f>2.5/Table52[[#This Row],[DT]]</f>
        <v>-2.5</v>
      </c>
      <c r="R29" s="9" t="e">
        <f>Table52[[#This Row],[IT]]/Table52[[#This Row],[plot]]</f>
        <v>#DIV/0!</v>
      </c>
      <c r="S29" s="9">
        <f>Table52[[#This Row],[clock_time]]/60</f>
        <v>0</v>
      </c>
    </row>
    <row r="30" spans="1:19" s="9" customFormat="1" x14ac:dyDescent="0.2">
      <c r="A30">
        <v>27</v>
      </c>
      <c r="B30" s="9" t="s">
        <v>19</v>
      </c>
      <c r="C30" s="9">
        <v>-1</v>
      </c>
      <c r="D30" s="9" t="s">
        <v>13</v>
      </c>
      <c r="E30" s="9">
        <v>1000</v>
      </c>
      <c r="F30" s="9">
        <v>128</v>
      </c>
      <c r="G30" s="9">
        <f>1/Table52[[#This Row],[N]]</f>
        <v>7.8125E-3</v>
      </c>
      <c r="H30" s="16">
        <v>-1</v>
      </c>
      <c r="I30" s="16">
        <v>-1</v>
      </c>
      <c r="J30" s="16">
        <v>-1</v>
      </c>
      <c r="L30" s="10"/>
      <c r="M30" s="10"/>
      <c r="P30" s="9">
        <f>2.5/Table52[[#This Row],[DT]]</f>
        <v>-2.5</v>
      </c>
      <c r="R30" s="9" t="e">
        <f>Table52[[#This Row],[IT]]/Table52[[#This Row],[plot]]</f>
        <v>#DIV/0!</v>
      </c>
      <c r="S30" s="9">
        <f>Table52[[#This Row],[clock_time]]/60</f>
        <v>0</v>
      </c>
    </row>
    <row r="31" spans="1:19" s="9" customFormat="1" x14ac:dyDescent="0.2">
      <c r="A31">
        <v>28</v>
      </c>
      <c r="B31" s="9" t="s">
        <v>19</v>
      </c>
      <c r="C31" s="9">
        <v>-1</v>
      </c>
      <c r="D31" s="9" t="s">
        <v>13</v>
      </c>
      <c r="E31" s="9">
        <v>1000</v>
      </c>
      <c r="F31" s="9">
        <v>256</v>
      </c>
      <c r="G31" s="9">
        <f>1/Table52[[#This Row],[N]]</f>
        <v>3.90625E-3</v>
      </c>
      <c r="H31" s="15">
        <v>-1</v>
      </c>
      <c r="I31" s="15">
        <v>-1</v>
      </c>
      <c r="J31" s="15">
        <v>-1</v>
      </c>
      <c r="L31" s="10"/>
      <c r="M31" s="10"/>
      <c r="P31" s="9">
        <f>2.5/Table52[[#This Row],[DT]]</f>
        <v>-2.5</v>
      </c>
      <c r="R31" s="9" t="e">
        <f>Table52[[#This Row],[IT]]/Table52[[#This Row],[plot]]</f>
        <v>#DIV/0!</v>
      </c>
      <c r="S31" s="9">
        <f>Table52[[#This Row],[clock_time]]/60</f>
        <v>0</v>
      </c>
    </row>
    <row r="32" spans="1:19" s="9" customFormat="1" x14ac:dyDescent="0.2">
      <c r="A32">
        <v>29</v>
      </c>
      <c r="B32" s="9" t="s">
        <v>19</v>
      </c>
      <c r="C32" s="9">
        <v>-1</v>
      </c>
      <c r="D32" s="9" t="s">
        <v>16</v>
      </c>
      <c r="E32" s="9">
        <v>1000</v>
      </c>
      <c r="F32" s="9">
        <v>16</v>
      </c>
      <c r="G32" s="9">
        <f>1/Table52[[#This Row],[N]]</f>
        <v>6.25E-2</v>
      </c>
      <c r="H32" s="16">
        <v>-1</v>
      </c>
      <c r="I32" s="16">
        <v>-1</v>
      </c>
      <c r="J32" s="16">
        <v>-1</v>
      </c>
      <c r="L32" s="10"/>
      <c r="M32" s="10"/>
      <c r="P32" s="9">
        <f>2.5/Table52[[#This Row],[DT]]</f>
        <v>-2.5</v>
      </c>
      <c r="R32" s="9" t="e">
        <f>Table52[[#This Row],[IT]]/Table52[[#This Row],[plot]]</f>
        <v>#DIV/0!</v>
      </c>
      <c r="S32" s="9">
        <f>Table52[[#This Row],[clock_time]]/60</f>
        <v>0</v>
      </c>
    </row>
    <row r="33" spans="1:19" s="9" customFormat="1" x14ac:dyDescent="0.2">
      <c r="A33">
        <v>30</v>
      </c>
      <c r="B33" s="9" t="s">
        <v>19</v>
      </c>
      <c r="C33" s="9">
        <v>-1</v>
      </c>
      <c r="D33" s="9" t="s">
        <v>16</v>
      </c>
      <c r="E33" s="9">
        <v>1000</v>
      </c>
      <c r="F33" s="9">
        <v>32</v>
      </c>
      <c r="G33" s="9">
        <f>1/Table52[[#This Row],[N]]</f>
        <v>3.125E-2</v>
      </c>
      <c r="H33" s="15">
        <v>-1</v>
      </c>
      <c r="I33" s="15">
        <v>-1</v>
      </c>
      <c r="J33" s="15">
        <v>-1</v>
      </c>
      <c r="L33" s="10"/>
      <c r="M33" s="10"/>
      <c r="P33" s="9">
        <f>2.5/Table52[[#This Row],[DT]]</f>
        <v>-2.5</v>
      </c>
      <c r="R33" s="9" t="e">
        <f>Table52[[#This Row],[IT]]/Table52[[#This Row],[plot]]</f>
        <v>#DIV/0!</v>
      </c>
      <c r="S33" s="9">
        <f>Table52[[#This Row],[clock_time]]/60</f>
        <v>0</v>
      </c>
    </row>
    <row r="34" spans="1:19" s="9" customFormat="1" x14ac:dyDescent="0.2">
      <c r="A34">
        <v>31</v>
      </c>
      <c r="B34" s="9" t="s">
        <v>19</v>
      </c>
      <c r="C34" s="9">
        <v>-1</v>
      </c>
      <c r="D34" s="9" t="s">
        <v>16</v>
      </c>
      <c r="E34" s="9">
        <v>1000</v>
      </c>
      <c r="F34" s="9">
        <v>64</v>
      </c>
      <c r="G34" s="9">
        <f>1/Table52[[#This Row],[N]]</f>
        <v>1.5625E-2</v>
      </c>
      <c r="H34" s="16">
        <v>-1</v>
      </c>
      <c r="I34" s="16">
        <v>-1</v>
      </c>
      <c r="J34" s="16">
        <v>-1</v>
      </c>
      <c r="L34" s="10"/>
      <c r="M34" s="10"/>
      <c r="P34" s="9">
        <f>2.5/Table52[[#This Row],[DT]]</f>
        <v>-2.5</v>
      </c>
      <c r="R34" s="9" t="e">
        <f>Table52[[#This Row],[IT]]/Table52[[#This Row],[plot]]</f>
        <v>#DIV/0!</v>
      </c>
      <c r="S34" s="9">
        <f>Table52[[#This Row],[clock_time]]/60</f>
        <v>0</v>
      </c>
    </row>
    <row r="35" spans="1:19" s="9" customFormat="1" x14ac:dyDescent="0.2">
      <c r="A35">
        <v>32</v>
      </c>
      <c r="B35" s="9" t="s">
        <v>19</v>
      </c>
      <c r="C35" s="9">
        <v>-1</v>
      </c>
      <c r="D35" s="9" t="s">
        <v>16</v>
      </c>
      <c r="E35" s="9">
        <v>1000</v>
      </c>
      <c r="F35" s="9">
        <v>128</v>
      </c>
      <c r="G35" s="9">
        <f>1/Table52[[#This Row],[N]]</f>
        <v>7.8125E-3</v>
      </c>
      <c r="H35" s="15">
        <v>-1</v>
      </c>
      <c r="I35" s="15">
        <v>-1</v>
      </c>
      <c r="J35" s="15">
        <v>-1</v>
      </c>
      <c r="L35" s="10"/>
      <c r="M35" s="10"/>
      <c r="P35" s="9">
        <f>2.5/Table52[[#This Row],[DT]]</f>
        <v>-2.5</v>
      </c>
      <c r="R35" s="9" t="e">
        <f>Table52[[#This Row],[IT]]/Table52[[#This Row],[plot]]</f>
        <v>#DIV/0!</v>
      </c>
      <c r="S35" s="9">
        <f>Table52[[#This Row],[clock_time]]/60</f>
        <v>0</v>
      </c>
    </row>
    <row r="36" spans="1:19" s="9" customFormat="1" x14ac:dyDescent="0.2">
      <c r="A36">
        <v>33</v>
      </c>
      <c r="B36" s="9" t="s">
        <v>19</v>
      </c>
      <c r="C36" s="9">
        <v>-1</v>
      </c>
      <c r="D36" s="9" t="s">
        <v>16</v>
      </c>
      <c r="E36" s="9">
        <v>1000</v>
      </c>
      <c r="F36" s="9">
        <v>256</v>
      </c>
      <c r="G36" s="9">
        <f>1/Table52[[#This Row],[N]]</f>
        <v>3.90625E-3</v>
      </c>
      <c r="H36" s="16">
        <v>-1</v>
      </c>
      <c r="I36" s="16">
        <v>-1</v>
      </c>
      <c r="J36" s="16">
        <v>-1</v>
      </c>
      <c r="L36" s="10"/>
      <c r="M36" s="10"/>
      <c r="P36" s="9">
        <f>2.5/Table52[[#This Row],[DT]]</f>
        <v>-2.5</v>
      </c>
      <c r="R36" s="9" t="e">
        <f>Table52[[#This Row],[IT]]/Table52[[#This Row],[plot]]</f>
        <v>#DIV/0!</v>
      </c>
      <c r="S36" s="9">
        <f>Table52[[#This Row],[clock_time]]/60</f>
        <v>0</v>
      </c>
    </row>
    <row r="37" spans="1:19" ht="17" thickBot="1" x14ac:dyDescent="0.25">
      <c r="A37">
        <v>34</v>
      </c>
      <c r="B37" s="11" t="s">
        <v>12</v>
      </c>
      <c r="C37" s="11">
        <v>1</v>
      </c>
      <c r="D37" s="11" t="s">
        <v>16</v>
      </c>
      <c r="E37" s="11">
        <v>1000</v>
      </c>
      <c r="F37" s="11">
        <v>256</v>
      </c>
      <c r="G37" s="11">
        <f>1/Table52[[#This Row],[N]]</f>
        <v>3.90625E-3</v>
      </c>
      <c r="H37" s="11">
        <f>Table52[[#This Row],[DX]]/1</f>
        <v>3.90625E-3</v>
      </c>
      <c r="I37" s="11">
        <v>2E-3</v>
      </c>
      <c r="J37" s="11">
        <f>1*Table52[[#This Row],[DT]]/Table52[[#This Row],[DX]]</f>
        <v>0.51200000000000001</v>
      </c>
      <c r="K37" s="11">
        <v>-1</v>
      </c>
      <c r="L37" s="11"/>
      <c r="M37" s="11">
        <v>42487</v>
      </c>
      <c r="N37" s="12">
        <v>3972.08862</v>
      </c>
      <c r="O37" s="11" t="s">
        <v>17</v>
      </c>
      <c r="P37" s="9">
        <f>2.5/Table52[[#This Row],[DT]]</f>
        <v>1250</v>
      </c>
      <c r="Q37">
        <v>5000</v>
      </c>
      <c r="R37" s="7">
        <f>Table52[[#This Row],[IT]]/Table52[[#This Row],[plot]]</f>
        <v>8.4974000000000007</v>
      </c>
      <c r="S37" s="7">
        <f>Table52[[#This Row],[clock_time]]/60</f>
        <v>66.201476999999997</v>
      </c>
    </row>
    <row r="38" spans="1:19" x14ac:dyDescent="0.2">
      <c r="A38">
        <v>13.1</v>
      </c>
      <c r="B38" t="s">
        <v>12</v>
      </c>
      <c r="C38">
        <v>2</v>
      </c>
      <c r="D38" t="s">
        <v>13</v>
      </c>
      <c r="E38">
        <v>1000</v>
      </c>
      <c r="F38">
        <v>64</v>
      </c>
      <c r="G38">
        <f>1/Table52[[#This Row],[N]]</f>
        <v>1.5625E-2</v>
      </c>
      <c r="H38">
        <f>Table52[[#This Row],[DX]]/1</f>
        <v>1.5625E-2</v>
      </c>
      <c r="I38">
        <v>1.4999999999999999E-2</v>
      </c>
      <c r="J38">
        <f>1*Table52[[#This Row],[DT]]/Table52[[#This Row],[DX]]</f>
        <v>0.96</v>
      </c>
      <c r="K38">
        <v>-1</v>
      </c>
      <c r="L38" s="1"/>
      <c r="M38" s="1">
        <v>4576</v>
      </c>
      <c r="N38" s="1">
        <v>36.317504900000003</v>
      </c>
      <c r="O38" t="s">
        <v>18</v>
      </c>
      <c r="P38">
        <f>2.5/Table52[[#This Row],[DT]]</f>
        <v>166.66666666666669</v>
      </c>
      <c r="R38" t="e">
        <f>Table52[[#This Row],[IT]]/Table52[[#This Row],[plot]]</f>
        <v>#DIV/0!</v>
      </c>
      <c r="S38">
        <f>Table52[[#This Row],[clock_time]]/60</f>
        <v>0.60529174833333343</v>
      </c>
    </row>
  </sheetData>
  <phoneticPr fontId="2" type="noConversion"/>
  <pageMargins left="0.7" right="0.7" top="0.75" bottom="0.75" header="0.3" footer="0.3"/>
  <ignoredErrors>
    <ignoredError sqref="H27 H28:H36 J27:J3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2026-03-30T16:00:58Z</dcterms:modified>
</cp:coreProperties>
</file>