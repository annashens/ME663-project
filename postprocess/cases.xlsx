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9B10DABA-AC87-1644-94E9-AD62DFBDFD38}" xr6:coauthVersionLast="47" xr6:coauthVersionMax="47" xr10:uidLastSave="{00000000-0000-0000-0000-000000000000}"/>
  <bookViews>
    <workbookView xWindow="1260" yWindow="500" windowWidth="2594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1" l="1"/>
  <c r="S38" i="1"/>
  <c r="Q38" i="1"/>
  <c r="G38" i="1"/>
  <c r="J38" i="1" s="1"/>
  <c r="T37" i="1"/>
  <c r="S37" i="1"/>
  <c r="Q37" i="1"/>
  <c r="G37" i="1"/>
  <c r="J37" i="1" s="1"/>
  <c r="T36" i="1"/>
  <c r="S36" i="1"/>
  <c r="Q36" i="1"/>
  <c r="G36" i="1"/>
  <c r="T35" i="1"/>
  <c r="S35" i="1"/>
  <c r="Q35" i="1"/>
  <c r="G35" i="1"/>
  <c r="T34" i="1"/>
  <c r="S34" i="1"/>
  <c r="Q34" i="1"/>
  <c r="G34" i="1"/>
  <c r="T33" i="1"/>
  <c r="S33" i="1"/>
  <c r="Q33" i="1"/>
  <c r="G33" i="1"/>
  <c r="T32" i="1"/>
  <c r="S32" i="1"/>
  <c r="Q32" i="1"/>
  <c r="G32" i="1"/>
  <c r="T31" i="1"/>
  <c r="S31" i="1"/>
  <c r="Q31" i="1"/>
  <c r="G31" i="1"/>
  <c r="T30" i="1"/>
  <c r="S30" i="1"/>
  <c r="Q30" i="1"/>
  <c r="G30" i="1"/>
  <c r="T25" i="1"/>
  <c r="S25" i="1"/>
  <c r="Q25" i="1"/>
  <c r="G25" i="1"/>
  <c r="H25" i="1" s="1"/>
  <c r="Q19" i="1"/>
  <c r="T20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T22" i="1"/>
  <c r="G23" i="1"/>
  <c r="J23" i="1" s="1"/>
  <c r="S23" i="1"/>
  <c r="T23" i="1"/>
  <c r="G24" i="1"/>
  <c r="H24" i="1" s="1"/>
  <c r="S24" i="1"/>
  <c r="T24" i="1"/>
  <c r="G18" i="1"/>
  <c r="H18" i="1" s="1"/>
  <c r="T18" i="1"/>
  <c r="G19" i="1"/>
  <c r="H19" i="1" s="1"/>
  <c r="T19" i="1"/>
  <c r="G17" i="1"/>
  <c r="H17" i="1" s="1"/>
  <c r="Q17" i="1"/>
  <c r="S17" i="1"/>
  <c r="T17" i="1"/>
  <c r="G21" i="1"/>
  <c r="H21" i="1" s="1"/>
  <c r="S21" i="1"/>
  <c r="T21" i="1"/>
  <c r="T26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27" i="1"/>
  <c r="T28" i="1"/>
  <c r="T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38" i="1" l="1"/>
  <c r="H37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<sst xmlns="http://schemas.openxmlformats.org/spreadsheetml/2006/main" count="197" uniqueCount="30">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</sst>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  <xf numFmtId="0" fontId="1" fillId="0" borderId="0" xfId="0" applyFont="1" applyFill="1" applyBorder="1"/>
    <xf numFmtId="0" fontId="1" fillId="5" borderId="0" xfId="0" applyFont="1" applyFill="1" applyBorder="1"/>
    <xf numFmtId="0" fontId="1" fillId="4" borderId="0" xfId="0" applyFont="1" applyFill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38" totalsRowShown="0">
  <autoFilter ref="A1:T38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19">
      <calculatedColumnFormula>1/Table52[[#This Row],[N]]</calculatedColumnFormula>
    </tableColumn>
    <tableColumn id="6" xr3:uid="{41134D54-A4BA-874E-976C-009F5555A5F2}" name="DT_MAX" dataDxfId="1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1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16"/>
    <tableColumn id="9" xr3:uid="{CF78813F-1FCF-E643-8377-72AF6325BEEE}" name="diverging_factor" dataDxfId="15"/>
    <tableColumn id="25" xr3:uid="{B19A7E44-6A26-8B41-BA69-77F75344DEA3}" name="IT" dataDxfId="1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13">
      <calculatedColumnFormula>2.5/Table52[[#This Row],[DT]]</calculatedColumnFormula>
    </tableColumn>
    <tableColumn id="14" xr3:uid="{04DFDB2B-B2EB-2143-A2BD-C078D341F02C}" name="plot" dataDxfId="12"/>
    <tableColumn id="15" xr3:uid="{2C94A75A-643C-AB4F-B973-F132BD67C52D}" name="Coldumn3" dataDxfId="11">
      <calculatedColumnFormula>Table52[[#This Row],[IT]]/Table52[[#This Row],[plot]]</calculatedColumnFormula>
    </tableColumn>
    <tableColumn id="3" xr3:uid="{4E3C3F99-0854-E448-B822-ED1CAF3861A9}" name="Time (min)" dataDxfId="1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9">
      <calculatedColumnFormula>1/Table523[[#This Row],[N]]</calculatedColumnFormula>
    </tableColumn>
    <tableColumn id="6" xr3:uid="{67B863EC-1E80-594A-8E8C-A8AB6A765A5B}" name="DT_MAX" dataDxfId="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7">
      <calculatedColumnFormula>1*Table523[[#This Row],[DT]]/Table523[[#This Row],[DX]]</calculatedColumnFormula>
    </tableColumn>
    <tableColumn id="16" xr3:uid="{18D7BD5A-213F-BD40-97BA-0D536A04F891}" name="URF" dataDxfId="6"/>
    <tableColumn id="9" xr3:uid="{798FE19B-9189-494F-A3BB-310F03005E42}" name="diverging_factor" dataDxfId="5"/>
    <tableColumn id="25" xr3:uid="{FDF5445A-F7EE-1F4D-9905-BD45A45BD22B}" name="IT" dataDxfId="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3">
      <calculatedColumnFormula>Table523[[#This Row],[IT]]/(Table523[[#This Row],[DT]]^(0.001))</calculatedColumnFormula>
    </tableColumn>
    <tableColumn id="14" xr3:uid="{25F9EF5E-5623-9348-AFD3-BE21DEB4A0B1}" name="plot" dataDxfId="2"/>
    <tableColumn id="15" xr3:uid="{6C6DB161-08C1-8C41-8D04-DBB62D987A88}" name="Coldumn3" dataDxfId="1">
      <calculatedColumnFormula>Table523[[#This Row],[IT]]/Table523[[#This Row],[plot]]</calculatedColumnFormula>
    </tableColumn>
    <tableColumn id="3" xr3:uid="{8D89A138-3ECA-4F4F-8AE2-5ED05E63F0B1}" name="Coldumn4" dataDxfId="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38"/>
  <sheetViews>
    <sheetView tabSelected="1" topLeftCell="D5" zoomScale="107" workbookViewId="0">
      <selection activeCell="L31" sqref="L31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1/Table52[[#This Row],[N]]</f>
        <v>1.5625E-2</v>
      </c>
      <c r="H4">
        <f>Table52[[#This Row],[DX]]/1</f>
        <v>1.5625E-2</v>
      </c>
      <c r="I4">
        <v>1.4999999999999999E-2</v>
      </c>
      <c r="J4">
        <f>1*Table52[[#This Row],[DT]]/Table52[[#This Row],[DX]]</f>
        <v>0.96</v>
      </c>
      <c r="L4">
        <v>-1</v>
      </c>
      <c r="M4">
        <v>0.02</v>
      </c>
      <c r="N4">
        <v>3322</v>
      </c>
      <c r="O4">
        <v>44.980831100000003</v>
      </c>
      <c r="P4" t="s">
        <v>14</v>
      </c>
      <c r="Q4">
        <f>2.5/Table52[[#This Row],[DT]]</f>
        <v>166.66666666666669</v>
      </c>
      <c r="R4">
        <v>250</v>
      </c>
      <c r="S4">
        <f>Table52[[#This Row],[IT]]/Table52[[#This Row],[plot]]</f>
        <v>13.288</v>
      </c>
      <c r="T4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17" customFormat="1" x14ac:dyDescent="0.2">
      <c r="A27" s="17">
        <v>26</v>
      </c>
      <c r="B27" s="17" t="s">
        <v>19</v>
      </c>
      <c r="C27" s="17">
        <v>-1</v>
      </c>
      <c r="D27" s="17" t="s">
        <v>13</v>
      </c>
      <c r="E27" s="17">
        <v>1000</v>
      </c>
      <c r="F27" s="17">
        <v>16</v>
      </c>
      <c r="G27" s="17">
        <f>1/Table52[[#This Row],[N]]</f>
        <v>6.25E-2</v>
      </c>
      <c r="H27" s="18">
        <v>-1</v>
      </c>
      <c r="I27" s="18">
        <v>-1</v>
      </c>
      <c r="J27" s="18">
        <v>-1</v>
      </c>
      <c r="K27" s="20">
        <v>0.3</v>
      </c>
      <c r="L27" s="17">
        <v>0.85</v>
      </c>
      <c r="N27" s="17">
        <v>294</v>
      </c>
      <c r="O27" s="19">
        <v>7.18609989E-2</v>
      </c>
      <c r="P27" s="17" t="s">
        <v>18</v>
      </c>
      <c r="Q27" s="17">
        <f>2.5/Table52[[#This Row],[DT]]</f>
        <v>-2.5</v>
      </c>
      <c r="S27" s="17" t="e">
        <f>Table52[[#This Row],[IT]]/Table52[[#This Row],[plot]]</f>
        <v>#DIV/0!</v>
      </c>
      <c r="T27" s="17">
        <f>Table52[[#This Row],[clock_time]]/60</f>
        <v>1.197683315E-3</v>
      </c>
    </row>
    <row r="28" spans="1:20" s="17" customFormat="1" x14ac:dyDescent="0.2">
      <c r="A28" s="17">
        <v>27</v>
      </c>
      <c r="B28" s="17" t="s">
        <v>19</v>
      </c>
      <c r="C28" s="17">
        <v>-1</v>
      </c>
      <c r="D28" s="17" t="s">
        <v>13</v>
      </c>
      <c r="E28" s="17">
        <v>1000</v>
      </c>
      <c r="F28" s="17">
        <v>32</v>
      </c>
      <c r="G28" s="17">
        <f>1/Table52[[#This Row],[N]]</f>
        <v>3.125E-2</v>
      </c>
      <c r="H28" s="18">
        <v>-1</v>
      </c>
      <c r="I28" s="18">
        <v>-1</v>
      </c>
      <c r="J28" s="18">
        <v>-1</v>
      </c>
      <c r="K28" s="20">
        <v>0.3</v>
      </c>
      <c r="L28" s="17">
        <v>0.75</v>
      </c>
      <c r="M28" s="19"/>
      <c r="N28" s="19">
        <v>460</v>
      </c>
      <c r="O28" s="17">
        <v>0.33705398399999997</v>
      </c>
      <c r="Q28" s="17">
        <f>2.5/Table52[[#This Row],[DT]]</f>
        <v>-2.5</v>
      </c>
      <c r="S28" s="17" t="e">
        <f>Table52[[#This Row],[IT]]/Table52[[#This Row],[plot]]</f>
        <v>#DIV/0!</v>
      </c>
      <c r="T28" s="17">
        <f>Table52[[#This Row],[clock_time]]/60</f>
        <v>5.6175663999999993E-3</v>
      </c>
    </row>
    <row r="29" spans="1:20" s="17" customFormat="1" x14ac:dyDescent="0.2">
      <c r="A29" s="17">
        <v>28</v>
      </c>
      <c r="B29" s="17" t="s">
        <v>19</v>
      </c>
      <c r="C29" s="17">
        <v>-1</v>
      </c>
      <c r="D29" s="17" t="s">
        <v>13</v>
      </c>
      <c r="E29" s="17">
        <v>1000</v>
      </c>
      <c r="F29" s="17">
        <v>64</v>
      </c>
      <c r="G29" s="17">
        <f>1/Table52[[#This Row],[N]]</f>
        <v>1.5625E-2</v>
      </c>
      <c r="H29" s="18">
        <v>-1</v>
      </c>
      <c r="I29" s="18">
        <v>-1</v>
      </c>
      <c r="J29" s="18">
        <v>-1</v>
      </c>
      <c r="K29" s="20">
        <v>0.3</v>
      </c>
      <c r="L29" s="17">
        <v>0.7</v>
      </c>
      <c r="M29" s="19"/>
      <c r="N29" s="19">
        <v>955</v>
      </c>
      <c r="O29" s="17">
        <v>2.6180739399999999</v>
      </c>
      <c r="Q29" s="17">
        <f>2.5/Table52[[#This Row],[DT]]</f>
        <v>-2.5</v>
      </c>
      <c r="S29" s="17" t="e">
        <f>Table52[[#This Row],[IT]]/Table52[[#This Row],[plot]]</f>
        <v>#DIV/0!</v>
      </c>
      <c r="T29" s="17">
        <f>Table52[[#This Row],[clock_time]]/60</f>
        <v>4.3634565666666666E-2</v>
      </c>
    </row>
    <row r="30" spans="1:20" s="17" customFormat="1" x14ac:dyDescent="0.2">
      <c r="A30" s="17">
        <v>29</v>
      </c>
      <c r="B30" s="17" t="s">
        <v>19</v>
      </c>
      <c r="C30" s="17">
        <v>-1</v>
      </c>
      <c r="D30" s="17" t="s">
        <v>13</v>
      </c>
      <c r="E30" s="17">
        <v>1000</v>
      </c>
      <c r="F30" s="17">
        <v>128</v>
      </c>
      <c r="G30" s="17">
        <f>1/Table52[[#This Row],[N]]</f>
        <v>7.8125E-3</v>
      </c>
      <c r="H30" s="18">
        <v>-1</v>
      </c>
      <c r="I30" s="18">
        <v>-1</v>
      </c>
      <c r="J30" s="18">
        <v>-1</v>
      </c>
      <c r="K30" s="20">
        <v>0.3</v>
      </c>
      <c r="L30" s="17">
        <v>0.7</v>
      </c>
      <c r="M30" s="19"/>
      <c r="N30" s="19">
        <v>2808</v>
      </c>
      <c r="O30" s="17">
        <v>31.147777600000001</v>
      </c>
      <c r="Q30" s="17">
        <f>2.5/Table52[[#This Row],[DT]]</f>
        <v>-2.5</v>
      </c>
      <c r="S30" s="17" t="e">
        <f>Table52[[#This Row],[IT]]/Table52[[#This Row],[plot]]</f>
        <v>#DIV/0!</v>
      </c>
      <c r="T30" s="17">
        <f>Table52[[#This Row],[clock_time]]/60</f>
        <v>0.51912962666666673</v>
      </c>
    </row>
    <row r="31" spans="1:20" s="17" customFormat="1" x14ac:dyDescent="0.2">
      <c r="A31" s="17">
        <v>30</v>
      </c>
      <c r="B31" s="17" t="s">
        <v>19</v>
      </c>
      <c r="C31" s="17">
        <v>-1</v>
      </c>
      <c r="D31" s="17" t="s">
        <v>13</v>
      </c>
      <c r="E31" s="17">
        <v>1000</v>
      </c>
      <c r="F31" s="17">
        <v>256</v>
      </c>
      <c r="G31" s="17">
        <f>1/Table52[[#This Row],[N]]</f>
        <v>3.90625E-3</v>
      </c>
      <c r="H31" s="18">
        <v>-1</v>
      </c>
      <c r="I31" s="18">
        <v>-1</v>
      </c>
      <c r="J31" s="18">
        <v>-1</v>
      </c>
      <c r="K31" s="20">
        <v>0.3</v>
      </c>
      <c r="L31" s="17">
        <v>0.7</v>
      </c>
      <c r="M31" s="19"/>
      <c r="N31" s="19">
        <v>7290</v>
      </c>
      <c r="O31" s="17">
        <v>421.73425300000002</v>
      </c>
      <c r="Q31" s="17">
        <f>2.5/Table52[[#This Row],[DT]]</f>
        <v>-2.5</v>
      </c>
      <c r="S31" s="17" t="e">
        <f>Table52[[#This Row],[IT]]/Table52[[#This Row],[plot]]</f>
        <v>#DIV/0!</v>
      </c>
      <c r="T31" s="17">
        <f>Table52[[#This Row],[clock_time]]/60</f>
        <v>7.0289042166666666</v>
      </c>
    </row>
    <row r="32" spans="1:20" s="9" customFormat="1" x14ac:dyDescent="0.2">
      <c r="A32">
        <v>31</v>
      </c>
      <c r="B32" s="9" t="s">
        <v>19</v>
      </c>
      <c r="C32" s="9">
        <v>-1</v>
      </c>
      <c r="D32" s="9" t="s">
        <v>16</v>
      </c>
      <c r="E32" s="9">
        <v>1000</v>
      </c>
      <c r="F32" s="9">
        <v>16</v>
      </c>
      <c r="G32" s="9">
        <f>1/Table52[[#This Row],[N]]</f>
        <v>6.25E-2</v>
      </c>
      <c r="H32" s="16">
        <v>-1</v>
      </c>
      <c r="I32" s="16">
        <v>-1</v>
      </c>
      <c r="J32" s="16">
        <v>-1</v>
      </c>
      <c r="K32" s="21"/>
      <c r="M32" s="10"/>
      <c r="N32" s="10"/>
      <c r="Q32" s="9">
        <f>2.5/Table52[[#This Row],[DT]]</f>
        <v>-2.5</v>
      </c>
      <c r="S32" s="9" t="e">
        <f>Table52[[#This Row],[IT]]/Table52[[#This Row],[plot]]</f>
        <v>#DIV/0!</v>
      </c>
      <c r="T32" s="9">
        <f>Table52[[#This Row],[clock_time]]/60</f>
        <v>0</v>
      </c>
    </row>
    <row r="33" spans="1:20" s="9" customFormat="1" x14ac:dyDescent="0.2">
      <c r="A33">
        <v>32</v>
      </c>
      <c r="B33" s="9" t="s">
        <v>19</v>
      </c>
      <c r="C33" s="9">
        <v>-1</v>
      </c>
      <c r="D33" s="9" t="s">
        <v>16</v>
      </c>
      <c r="E33" s="9">
        <v>1000</v>
      </c>
      <c r="F33" s="9">
        <v>32</v>
      </c>
      <c r="G33" s="9">
        <f>1/Table52[[#This Row],[N]]</f>
        <v>3.125E-2</v>
      </c>
      <c r="H33" s="15">
        <v>-1</v>
      </c>
      <c r="I33" s="15">
        <v>-1</v>
      </c>
      <c r="J33" s="15">
        <v>-1</v>
      </c>
      <c r="K33" s="22"/>
      <c r="M33" s="10"/>
      <c r="N33" s="10"/>
      <c r="Q33" s="9">
        <f>2.5/Table52[[#This Row],[DT]]</f>
        <v>-2.5</v>
      </c>
      <c r="S33" s="9" t="e">
        <f>Table52[[#This Row],[IT]]/Table52[[#This Row],[plot]]</f>
        <v>#DIV/0!</v>
      </c>
      <c r="T33" s="9">
        <f>Table52[[#This Row],[clock_time]]/60</f>
        <v>0</v>
      </c>
    </row>
    <row r="34" spans="1:20" s="9" customFormat="1" x14ac:dyDescent="0.2">
      <c r="A34">
        <v>33</v>
      </c>
      <c r="B34" s="9" t="s">
        <v>19</v>
      </c>
      <c r="C34" s="9">
        <v>-1</v>
      </c>
      <c r="D34" s="9" t="s">
        <v>16</v>
      </c>
      <c r="E34" s="9">
        <v>1000</v>
      </c>
      <c r="F34" s="9">
        <v>64</v>
      </c>
      <c r="G34" s="9">
        <f>1/Table52[[#This Row],[N]]</f>
        <v>1.5625E-2</v>
      </c>
      <c r="H34" s="16">
        <v>-1</v>
      </c>
      <c r="I34" s="16">
        <v>-1</v>
      </c>
      <c r="J34" s="16">
        <v>-1</v>
      </c>
      <c r="K34" s="21"/>
      <c r="M34" s="10"/>
      <c r="N34" s="10"/>
      <c r="Q34" s="9">
        <f>2.5/Table52[[#This Row],[DT]]</f>
        <v>-2.5</v>
      </c>
      <c r="S34" s="9" t="e">
        <f>Table52[[#This Row],[IT]]/Table52[[#This Row],[plot]]</f>
        <v>#DIV/0!</v>
      </c>
      <c r="T34" s="9">
        <f>Table52[[#This Row],[clock_time]]/60</f>
        <v>0</v>
      </c>
    </row>
    <row r="35" spans="1:20" s="9" customFormat="1" x14ac:dyDescent="0.2">
      <c r="A35">
        <v>34</v>
      </c>
      <c r="B35" s="9" t="s">
        <v>19</v>
      </c>
      <c r="C35" s="9">
        <v>-1</v>
      </c>
      <c r="D35" s="9" t="s">
        <v>16</v>
      </c>
      <c r="E35" s="9">
        <v>1000</v>
      </c>
      <c r="F35" s="9">
        <v>128</v>
      </c>
      <c r="G35" s="9">
        <f>1/Table52[[#This Row],[N]]</f>
        <v>7.8125E-3</v>
      </c>
      <c r="H35" s="15">
        <v>-1</v>
      </c>
      <c r="I35" s="15">
        <v>-1</v>
      </c>
      <c r="J35" s="15">
        <v>-1</v>
      </c>
      <c r="K35" s="22"/>
      <c r="M35" s="10"/>
      <c r="N35" s="10"/>
      <c r="Q35" s="9">
        <f>2.5/Table52[[#This Row],[DT]]</f>
        <v>-2.5</v>
      </c>
      <c r="S35" s="9" t="e">
        <f>Table52[[#This Row],[IT]]/Table52[[#This Row],[plot]]</f>
        <v>#DIV/0!</v>
      </c>
      <c r="T35" s="9">
        <f>Table52[[#This Row],[clock_time]]/60</f>
        <v>0</v>
      </c>
    </row>
    <row r="36" spans="1:20" s="9" customFormat="1" x14ac:dyDescent="0.2">
      <c r="A36">
        <v>35</v>
      </c>
      <c r="B36" s="9" t="s">
        <v>19</v>
      </c>
      <c r="C36" s="9">
        <v>-1</v>
      </c>
      <c r="D36" s="9" t="s">
        <v>16</v>
      </c>
      <c r="E36" s="9">
        <v>1000</v>
      </c>
      <c r="F36" s="9">
        <v>256</v>
      </c>
      <c r="G36" s="9">
        <f>1/Table52[[#This Row],[N]]</f>
        <v>3.90625E-3</v>
      </c>
      <c r="H36" s="16">
        <v>-1</v>
      </c>
      <c r="I36" s="16">
        <v>-1</v>
      </c>
      <c r="J36" s="16">
        <v>-1</v>
      </c>
      <c r="K36" s="21"/>
      <c r="M36" s="10"/>
      <c r="N36" s="10"/>
      <c r="Q36" s="9">
        <f>2.5/Table52[[#This Row],[DT]]</f>
        <v>-2.5</v>
      </c>
      <c r="S36" s="9" t="e">
        <f>Table52[[#This Row],[IT]]/Table52[[#This Row],[plot]]</f>
        <v>#DIV/0!</v>
      </c>
      <c r="T36" s="9">
        <f>Table52[[#This Row],[clock_time]]/60</f>
        <v>0</v>
      </c>
    </row>
    <row r="37" spans="1:20" ht="17" thickBot="1" x14ac:dyDescent="0.25">
      <c r="A37">
        <v>36</v>
      </c>
      <c r="B37" s="11" t="s">
        <v>12</v>
      </c>
      <c r="C37" s="11">
        <v>1</v>
      </c>
      <c r="D37" s="11" t="s">
        <v>16</v>
      </c>
      <c r="E37" s="11">
        <v>1000</v>
      </c>
      <c r="F37" s="11">
        <v>256</v>
      </c>
      <c r="G37" s="11">
        <f>1/Table52[[#This Row],[N]]</f>
        <v>3.90625E-3</v>
      </c>
      <c r="H37" s="11">
        <f>Table52[[#This Row],[DX]]/1</f>
        <v>3.90625E-3</v>
      </c>
      <c r="I37" s="11">
        <v>2E-3</v>
      </c>
      <c r="J37" s="11">
        <f>1*Table52[[#This Row],[DT]]/Table52[[#This Row],[DX]]</f>
        <v>0.51200000000000001</v>
      </c>
      <c r="K37" s="11"/>
      <c r="L37" s="11">
        <v>-1</v>
      </c>
      <c r="M37" s="11"/>
      <c r="N37" s="11">
        <v>42487</v>
      </c>
      <c r="O37" s="12">
        <v>3972.08862</v>
      </c>
      <c r="P37" s="11" t="s">
        <v>17</v>
      </c>
      <c r="Q37" s="9">
        <f>2.5/Table52[[#This Row],[DT]]</f>
        <v>1250</v>
      </c>
      <c r="R37">
        <v>5000</v>
      </c>
      <c r="S37" s="7">
        <f>Table52[[#This Row],[IT]]/Table52[[#This Row],[plot]]</f>
        <v>8.4974000000000007</v>
      </c>
      <c r="T37" s="7">
        <f>Table52[[#This Row],[clock_time]]/60</f>
        <v>66.201476999999997</v>
      </c>
    </row>
    <row r="38" spans="1:20" x14ac:dyDescent="0.2">
      <c r="A38">
        <v>13.1</v>
      </c>
      <c r="B38" t="s">
        <v>12</v>
      </c>
      <c r="C38">
        <v>2</v>
      </c>
      <c r="D38" t="s">
        <v>13</v>
      </c>
      <c r="E38">
        <v>1000</v>
      </c>
      <c r="F38">
        <v>64</v>
      </c>
      <c r="G38">
        <f>1/Table52[[#This Row],[N]]</f>
        <v>1.5625E-2</v>
      </c>
      <c r="H38">
        <f>Table52[[#This Row],[DX]]/1</f>
        <v>1.5625E-2</v>
      </c>
      <c r="I38">
        <v>1.4999999999999999E-2</v>
      </c>
      <c r="J38">
        <f>1*Table52[[#This Row],[DT]]/Table52[[#This Row],[DX]]</f>
        <v>0.96</v>
      </c>
      <c r="L38">
        <v>-1</v>
      </c>
      <c r="M38" s="1"/>
      <c r="N38" s="1">
        <v>4576</v>
      </c>
      <c r="O38" s="1">
        <v>36.317504900000003</v>
      </c>
      <c r="P38" t="s">
        <v>18</v>
      </c>
      <c r="Q38">
        <f>2.5/Table52[[#This Row],[DT]]</f>
        <v>166.66666666666669</v>
      </c>
      <c r="S38" t="e">
        <f>Table52[[#This Row],[IT]]/Table52[[#This Row],[plot]]</f>
        <v>#DIV/0!</v>
      </c>
      <c r="T38">
        <f>Table52[[#This Row],[clock_time]]/60</f>
        <v>0.60529174833333343</v>
      </c>
    </row>
  </sheetData>
  <phoneticPr fontId="2" type="noConversion"/>
  <pageMargins left="0.7" right="0.7" top="0.75" bottom="0.75" header="0.3" footer="0.3"/>
  <ignoredErrors>
    <ignoredError sqref="H27 H28:H36 J27:J3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2026-03-31T05:18:45Z</dcterms:modified>
</cp:coreProperties>
</file>