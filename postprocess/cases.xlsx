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2001_{DD04982F-5DD2-B044-91B9-58AA10734BFE}" xr6:coauthVersionLast="47" xr6:coauthVersionMax="47" xr10:uidLastSave="{00000000-0000-0000-0000-000000000000}"/>
  <bookViews>
    <workbookView xWindow="1240" yWindow="500" windowWidth="29120" windowHeight="1686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1" l="1"/>
  <c r="I43" i="1"/>
  <c r="I44" i="1"/>
  <c r="Q44" i="1" s="1"/>
  <c r="I48" i="1"/>
  <c r="Q48" i="1" s="1"/>
  <c r="I41" i="1"/>
  <c r="Q41" i="1" s="1"/>
  <c r="G48" i="1"/>
  <c r="H48" i="1" s="1"/>
  <c r="S48" i="1"/>
  <c r="T48" i="1"/>
  <c r="G47" i="1"/>
  <c r="H47" i="1" s="1"/>
  <c r="I47" i="1" s="1"/>
  <c r="Q47" i="1" s="1"/>
  <c r="S47" i="1"/>
  <c r="T47" i="1"/>
  <c r="G46" i="1"/>
  <c r="H46" i="1" s="1"/>
  <c r="I46" i="1" s="1"/>
  <c r="Q46" i="1" s="1"/>
  <c r="S46" i="1"/>
  <c r="T46" i="1"/>
  <c r="G45" i="1"/>
  <c r="H45" i="1" s="1"/>
  <c r="I45" i="1" s="1"/>
  <c r="Q45" i="1" s="1"/>
  <c r="S45" i="1"/>
  <c r="T45" i="1"/>
  <c r="G44" i="1"/>
  <c r="H44" i="1" s="1"/>
  <c r="S44" i="1"/>
  <c r="T44" i="1"/>
  <c r="G43" i="1"/>
  <c r="H43" i="1" s="1"/>
  <c r="Q43" i="1"/>
  <c r="S43" i="1"/>
  <c r="T43" i="1"/>
  <c r="G42" i="1"/>
  <c r="H42" i="1" s="1"/>
  <c r="Q42" i="1"/>
  <c r="S42" i="1"/>
  <c r="T42" i="1"/>
  <c r="G41" i="1"/>
  <c r="H41" i="1" s="1"/>
  <c r="S41" i="1"/>
  <c r="T41" i="1"/>
  <c r="G40" i="1"/>
  <c r="H40" i="1" s="1"/>
  <c r="Q40" i="1"/>
  <c r="S40" i="1"/>
  <c r="T40" i="1"/>
  <c r="G39" i="1"/>
  <c r="H39" i="1" s="1"/>
  <c r="Q39" i="1"/>
  <c r="S39" i="1"/>
  <c r="T39" i="1"/>
  <c r="T38" i="1"/>
  <c r="S38" i="1"/>
  <c r="Q38" i="1"/>
  <c r="G38" i="1"/>
  <c r="J38" i="1" s="1"/>
  <c r="T37" i="1"/>
  <c r="S37" i="1"/>
  <c r="Q37" i="1"/>
  <c r="G37" i="1"/>
  <c r="J37" i="1" s="1"/>
  <c r="T36" i="1"/>
  <c r="S36" i="1"/>
  <c r="Q36" i="1"/>
  <c r="G36" i="1"/>
  <c r="J36" i="1" s="1"/>
  <c r="T35" i="1"/>
  <c r="S35" i="1"/>
  <c r="Q35" i="1"/>
  <c r="G35" i="1"/>
  <c r="J35" i="1" s="1"/>
  <c r="T34" i="1"/>
  <c r="S34" i="1"/>
  <c r="Q34" i="1"/>
  <c r="G34" i="1"/>
  <c r="J34" i="1" s="1"/>
  <c r="T33" i="1"/>
  <c r="S33" i="1"/>
  <c r="Q33" i="1"/>
  <c r="G33" i="1"/>
  <c r="J33" i="1" s="1"/>
  <c r="T32" i="1"/>
  <c r="S32" i="1"/>
  <c r="Q32" i="1"/>
  <c r="G32" i="1"/>
  <c r="J32" i="1" s="1"/>
  <c r="T31" i="1"/>
  <c r="S31" i="1"/>
  <c r="Q31" i="1"/>
  <c r="G31" i="1"/>
  <c r="T30" i="1"/>
  <c r="S30" i="1"/>
  <c r="Q30" i="1"/>
  <c r="G30" i="1"/>
  <c r="T25" i="1"/>
  <c r="S25" i="1"/>
  <c r="Q25" i="1"/>
  <c r="G25" i="1"/>
  <c r="H25" i="1" s="1"/>
  <c r="Q19" i="1"/>
  <c r="T20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T22" i="1"/>
  <c r="G23" i="1"/>
  <c r="J23" i="1" s="1"/>
  <c r="S23" i="1"/>
  <c r="T23" i="1"/>
  <c r="G24" i="1"/>
  <c r="H24" i="1" s="1"/>
  <c r="S24" i="1"/>
  <c r="T24" i="1"/>
  <c r="G18" i="1"/>
  <c r="H18" i="1" s="1"/>
  <c r="T18" i="1"/>
  <c r="G19" i="1"/>
  <c r="H19" i="1" s="1"/>
  <c r="T19" i="1"/>
  <c r="G17" i="1"/>
  <c r="H17" i="1" s="1"/>
  <c r="Q17" i="1"/>
  <c r="S17" i="1"/>
  <c r="T17" i="1"/>
  <c r="G21" i="1"/>
  <c r="H21" i="1" s="1"/>
  <c r="S21" i="1"/>
  <c r="T21" i="1"/>
  <c r="T26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27" i="1"/>
  <c r="T28" i="1"/>
  <c r="T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J40" i="1" l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</calcChain>
</file>

<file path=xl/sharedStrings.xml><?xml version="1.0" encoding="utf-8"?>
<sst xmlns="http://schemas.openxmlformats.org/spreadsheetml/2006/main" count="217" uniqueCount="30">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</sst>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0" fillId="0" borderId="0" xfId="0" applyFill="1"/>
    <xf numFmtId="0" fontId="1" fillId="0" borderId="1" xfId="0" applyFont="1" applyFill="1" applyBorder="1"/>
    <xf numFmtId="2" fontId="0" fillId="0" borderId="0" xfId="0" applyNumberFormat="1" applyFill="1"/>
    <xf numFmtId="0" fontId="1" fillId="0" borderId="0" xfId="0" applyFont="1" applyFill="1" applyBorder="1"/>
    <xf numFmtId="0" fontId="0" fillId="0" borderId="3" xfId="0" applyFill="1" applyBorder="1"/>
    <xf numFmtId="0" fontId="1" fillId="0" borderId="5" xfId="0" applyFont="1" applyFill="1" applyBorder="1"/>
    <xf numFmtId="0" fontId="1" fillId="0" borderId="3" xfId="0" applyFont="1" applyFill="1" applyBorder="1"/>
    <xf numFmtId="2" fontId="0" fillId="0" borderId="3" xfId="0" applyNumberFormat="1" applyFill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0" borderId="0" xfId="0" applyNumberFormat="1"/>
    <xf numFmtId="0" fontId="0" fillId="5" borderId="3" xfId="0" applyFill="1" applyBorder="1"/>
    <xf numFmtId="0" fontId="0" fillId="0" borderId="3" xfId="0" applyNumberFormat="1" applyBorder="1"/>
    <xf numFmtId="0" fontId="0" fillId="5" borderId="0" xfId="0" applyNumberFormat="1" applyFill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48" totalsRowShown="0">
  <autoFilter ref="A1:T48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19">
      <calculatedColumnFormula>1/Table52[[#This Row],[N]]</calculatedColumnFormula>
    </tableColumn>
    <tableColumn id="6" xr3:uid="{41134D54-A4BA-874E-976C-009F5555A5F2}" name="DT_MAX" dataDxfId="1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1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16"/>
    <tableColumn id="9" xr3:uid="{CF78813F-1FCF-E643-8377-72AF6325BEEE}" name="diverging_factor" dataDxfId="15"/>
    <tableColumn id="25" xr3:uid="{B19A7E44-6A26-8B41-BA69-77F75344DEA3}" name="IT" dataDxfId="1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13">
      <calculatedColumnFormula>2.5/Table52[[#This Row],[DT]]</calculatedColumnFormula>
    </tableColumn>
    <tableColumn id="14" xr3:uid="{04DFDB2B-B2EB-2143-A2BD-C078D341F02C}" name="plot" dataDxfId="12"/>
    <tableColumn id="15" xr3:uid="{2C94A75A-643C-AB4F-B973-F132BD67C52D}" name="Coldumn3" dataDxfId="11">
      <calculatedColumnFormula>Table52[[#This Row],[IT]]/Table52[[#This Row],[plot]]</calculatedColumnFormula>
    </tableColumn>
    <tableColumn id="3" xr3:uid="{4E3C3F99-0854-E448-B822-ED1CAF3861A9}" name="Time (min)" dataDxfId="1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9">
      <calculatedColumnFormula>1/Table523[[#This Row],[N]]</calculatedColumnFormula>
    </tableColumn>
    <tableColumn id="6" xr3:uid="{67B863EC-1E80-594A-8E8C-A8AB6A765A5B}" name="DT_MAX" dataDxfId="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7">
      <calculatedColumnFormula>1*Table523[[#This Row],[DT]]/Table523[[#This Row],[DX]]</calculatedColumnFormula>
    </tableColumn>
    <tableColumn id="16" xr3:uid="{18D7BD5A-213F-BD40-97BA-0D536A04F891}" name="URF" dataDxfId="6"/>
    <tableColumn id="9" xr3:uid="{798FE19B-9189-494F-A3BB-310F03005E42}" name="diverging_factor" dataDxfId="5"/>
    <tableColumn id="25" xr3:uid="{FDF5445A-F7EE-1F4D-9905-BD45A45BD22B}" name="IT" dataDxfId="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3">
      <calculatedColumnFormula>Table523[[#This Row],[IT]]/(Table523[[#This Row],[DT]]^(0.001))</calculatedColumnFormula>
    </tableColumn>
    <tableColumn id="14" xr3:uid="{25F9EF5E-5623-9348-AFD3-BE21DEB4A0B1}" name="plot" dataDxfId="2"/>
    <tableColumn id="15" xr3:uid="{6C6DB161-08C1-8C41-8D04-DBB62D987A88}" name="Coldumn3" dataDxfId="1">
      <calculatedColumnFormula>Table523[[#This Row],[IT]]/Table523[[#This Row],[plot]]</calculatedColumnFormula>
    </tableColumn>
    <tableColumn id="3" xr3:uid="{8D89A138-3ECA-4F4F-8AE2-5ED05E63F0B1}" name="Coldumn4" dataDxfId="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48"/>
  <sheetViews>
    <sheetView tabSelected="1" topLeftCell="A21" zoomScale="107" workbookViewId="0">
      <selection activeCell="N51" sqref="N51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18" customFormat="1" x14ac:dyDescent="0.2">
      <c r="A27" s="18">
        <v>26</v>
      </c>
      <c r="B27" s="18" t="s">
        <v>19</v>
      </c>
      <c r="C27" s="18">
        <v>-1</v>
      </c>
      <c r="D27" s="18" t="s">
        <v>13</v>
      </c>
      <c r="E27" s="18">
        <v>1000</v>
      </c>
      <c r="F27" s="18">
        <v>16</v>
      </c>
      <c r="G27" s="18">
        <f>1/Table52[[#This Row],[N]]</f>
        <v>6.25E-2</v>
      </c>
      <c r="H27" s="19">
        <v>-1</v>
      </c>
      <c r="I27" s="19">
        <v>-1</v>
      </c>
      <c r="J27" s="19">
        <v>-1</v>
      </c>
      <c r="K27" s="21">
        <v>0.3</v>
      </c>
      <c r="L27" s="18">
        <v>0.85</v>
      </c>
      <c r="N27" s="18">
        <v>294</v>
      </c>
      <c r="O27" s="20">
        <v>7.18609989E-2</v>
      </c>
      <c r="P27" s="18" t="s">
        <v>18</v>
      </c>
      <c r="Q27" s="18">
        <f>2.5/Table52[[#This Row],[DT]]</f>
        <v>-2.5</v>
      </c>
      <c r="S27" s="18" t="e">
        <f>Table52[[#This Row],[IT]]/Table52[[#This Row],[plot]]</f>
        <v>#DIV/0!</v>
      </c>
      <c r="T27" s="18">
        <f>Table52[[#This Row],[clock_time]]/60</f>
        <v>1.197683315E-3</v>
      </c>
    </row>
    <row r="28" spans="1:20" s="18" customFormat="1" x14ac:dyDescent="0.2">
      <c r="A28" s="18">
        <v>27</v>
      </c>
      <c r="B28" s="18" t="s">
        <v>19</v>
      </c>
      <c r="C28" s="18">
        <v>-1</v>
      </c>
      <c r="D28" s="18" t="s">
        <v>13</v>
      </c>
      <c r="E28" s="18">
        <v>1000</v>
      </c>
      <c r="F28" s="18">
        <v>32</v>
      </c>
      <c r="G28" s="18">
        <f>1/Table52[[#This Row],[N]]</f>
        <v>3.125E-2</v>
      </c>
      <c r="H28" s="19">
        <v>-1</v>
      </c>
      <c r="I28" s="19">
        <v>-1</v>
      </c>
      <c r="J28" s="19">
        <v>-1</v>
      </c>
      <c r="K28" s="21">
        <v>0.3</v>
      </c>
      <c r="L28" s="18">
        <v>0.75</v>
      </c>
      <c r="M28" s="20"/>
      <c r="N28" s="20">
        <v>460</v>
      </c>
      <c r="O28" s="18">
        <v>0.33705398399999997</v>
      </c>
      <c r="Q28" s="18">
        <f>2.5/Table52[[#This Row],[DT]]</f>
        <v>-2.5</v>
      </c>
      <c r="S28" s="18" t="e">
        <f>Table52[[#This Row],[IT]]/Table52[[#This Row],[plot]]</f>
        <v>#DIV/0!</v>
      </c>
      <c r="T28" s="18">
        <f>Table52[[#This Row],[clock_time]]/60</f>
        <v>5.6175663999999993E-3</v>
      </c>
    </row>
    <row r="29" spans="1:20" s="18" customFormat="1" x14ac:dyDescent="0.2">
      <c r="A29" s="18">
        <v>28</v>
      </c>
      <c r="B29" s="18" t="s">
        <v>19</v>
      </c>
      <c r="C29" s="18">
        <v>-1</v>
      </c>
      <c r="D29" s="18" t="s">
        <v>13</v>
      </c>
      <c r="E29" s="18">
        <v>1000</v>
      </c>
      <c r="F29" s="18">
        <v>64</v>
      </c>
      <c r="G29" s="18">
        <f>1/Table52[[#This Row],[N]]</f>
        <v>1.5625E-2</v>
      </c>
      <c r="H29" s="19">
        <v>-1</v>
      </c>
      <c r="I29" s="19">
        <v>-1</v>
      </c>
      <c r="J29" s="19">
        <v>-1</v>
      </c>
      <c r="K29" s="21">
        <v>0.3</v>
      </c>
      <c r="L29" s="18">
        <v>0.78</v>
      </c>
      <c r="M29" s="20"/>
      <c r="N29" s="20">
        <v>1279</v>
      </c>
      <c r="O29" s="18">
        <v>3.5678272199999999</v>
      </c>
      <c r="Q29" s="18">
        <f>2.5/Table52[[#This Row],[DT]]</f>
        <v>-2.5</v>
      </c>
      <c r="S29" s="18" t="e">
        <f>Table52[[#This Row],[IT]]/Table52[[#This Row],[plot]]</f>
        <v>#DIV/0!</v>
      </c>
      <c r="T29" s="18">
        <f>Table52[[#This Row],[clock_time]]/60</f>
        <v>5.9463786999999997E-2</v>
      </c>
    </row>
    <row r="30" spans="1:20" s="18" customFormat="1" x14ac:dyDescent="0.2">
      <c r="A30" s="18">
        <v>29</v>
      </c>
      <c r="B30" s="18" t="s">
        <v>19</v>
      </c>
      <c r="C30" s="18">
        <v>-1</v>
      </c>
      <c r="D30" s="18" t="s">
        <v>13</v>
      </c>
      <c r="E30" s="18">
        <v>1000</v>
      </c>
      <c r="F30" s="18">
        <v>128</v>
      </c>
      <c r="G30" s="18">
        <f>1/Table52[[#This Row],[N]]</f>
        <v>7.8125E-3</v>
      </c>
      <c r="H30" s="19">
        <v>-1</v>
      </c>
      <c r="I30" s="19">
        <v>-1</v>
      </c>
      <c r="J30" s="19">
        <v>-1</v>
      </c>
      <c r="K30" s="21">
        <v>0.3</v>
      </c>
      <c r="L30" s="18">
        <v>0.99</v>
      </c>
      <c r="M30" s="20"/>
      <c r="N30" s="20">
        <v>1882</v>
      </c>
      <c r="O30" s="18">
        <v>20.745883899999999</v>
      </c>
      <c r="Q30" s="18">
        <f>2.5/Table52[[#This Row],[DT]]</f>
        <v>-2.5</v>
      </c>
      <c r="S30" s="18" t="e">
        <f>Table52[[#This Row],[IT]]/Table52[[#This Row],[plot]]</f>
        <v>#DIV/0!</v>
      </c>
      <c r="T30" s="18">
        <f>Table52[[#This Row],[clock_time]]/60</f>
        <v>0.34576473166666666</v>
      </c>
    </row>
    <row r="31" spans="1:20" s="22" customFormat="1" ht="17" thickBot="1" x14ac:dyDescent="0.25">
      <c r="A31" s="22">
        <v>30</v>
      </c>
      <c r="B31" s="22" t="s">
        <v>19</v>
      </c>
      <c r="C31" s="22">
        <v>-1</v>
      </c>
      <c r="D31" s="22" t="s">
        <v>13</v>
      </c>
      <c r="E31" s="22">
        <v>1000</v>
      </c>
      <c r="F31" s="22">
        <v>256</v>
      </c>
      <c r="G31" s="22">
        <f>1/Table52[[#This Row],[N]]</f>
        <v>3.90625E-3</v>
      </c>
      <c r="H31" s="23">
        <v>-1</v>
      </c>
      <c r="I31" s="23">
        <v>-1</v>
      </c>
      <c r="J31" s="23">
        <v>-1</v>
      </c>
      <c r="K31" s="24">
        <v>0.3</v>
      </c>
      <c r="L31" s="22">
        <v>0.7</v>
      </c>
      <c r="M31" s="25"/>
      <c r="N31" s="25">
        <v>7290</v>
      </c>
      <c r="O31" s="22">
        <v>421.73425300000002</v>
      </c>
      <c r="Q31" s="22">
        <f>2.5/Table52[[#This Row],[DT]]</f>
        <v>-2.5</v>
      </c>
      <c r="S31" s="22" t="e">
        <f>Table52[[#This Row],[IT]]/Table52[[#This Row],[plot]]</f>
        <v>#DIV/0!</v>
      </c>
      <c r="T31" s="22">
        <f>Table52[[#This Row],[clock_time]]/60</f>
        <v>7.0289042166666666</v>
      </c>
    </row>
    <row r="32" spans="1:20" s="15" customFormat="1" x14ac:dyDescent="0.2">
      <c r="A32" s="15">
        <v>31</v>
      </c>
      <c r="B32" s="15" t="s">
        <v>12</v>
      </c>
      <c r="C32" s="15">
        <v>1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6">
        <v>-1</v>
      </c>
      <c r="I32" s="15">
        <v>1.7000000000000001E-2</v>
      </c>
      <c r="J32" s="26">
        <f>Table52[[#This Row],[DT]]/Table52[[#This Row],[DX]]</f>
        <v>1.0880000000000001</v>
      </c>
      <c r="K32" s="26">
        <v>-1</v>
      </c>
      <c r="L32" s="26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1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6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1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6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1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6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1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6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7" customFormat="1" x14ac:dyDescent="0.2">
      <c r="A37" s="15">
        <v>36</v>
      </c>
      <c r="B37" s="15" t="s">
        <v>12</v>
      </c>
      <c r="C37" s="15">
        <v>1</v>
      </c>
      <c r="D37" s="15" t="s">
        <v>13</v>
      </c>
      <c r="E37" s="15">
        <v>1000</v>
      </c>
      <c r="F37" s="15">
        <v>64</v>
      </c>
      <c r="G37" s="28">
        <f>1/Table52[[#This Row],[N]]</f>
        <v>1.5625E-2</v>
      </c>
      <c r="H37" s="28">
        <v>-1</v>
      </c>
      <c r="I37" s="28">
        <v>7.5000000000000002E-4</v>
      </c>
      <c r="J37" s="28">
        <f>1*Table52[[#This Row],[DT]]/Table52[[#This Row],[DX]]</f>
        <v>4.8000000000000001E-2</v>
      </c>
      <c r="K37" s="28"/>
      <c r="L37" s="28">
        <v>-1</v>
      </c>
      <c r="M37" s="28"/>
      <c r="N37" s="28">
        <v>38422</v>
      </c>
      <c r="O37" s="29">
        <v>59.427192699999999</v>
      </c>
      <c r="P37" s="28" t="s">
        <v>17</v>
      </c>
      <c r="Q37" s="30">
        <f>2.5/Table52[[#This Row],[DT]]</f>
        <v>3333.3333333333335</v>
      </c>
      <c r="R37" s="27">
        <v>5000</v>
      </c>
      <c r="S37" s="31">
        <f>Table52[[#This Row],[IT]]/Table52[[#This Row],[plot]]</f>
        <v>7.6844000000000001</v>
      </c>
      <c r="T37" s="31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1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1</v>
      </c>
      <c r="D39" s="15" t="s">
        <v>13</v>
      </c>
      <c r="E39" s="15">
        <v>1000</v>
      </c>
      <c r="F39" s="15">
        <v>64</v>
      </c>
      <c r="G39" s="32">
        <f>1/Table52[[#This Row],[N]]</f>
        <v>1.5625E-2</v>
      </c>
      <c r="H39" s="32">
        <f>Table52[[#This Row],[DX]]/1</f>
        <v>1.5625E-2</v>
      </c>
      <c r="I39">
        <v>7.4999999999999997E-3</v>
      </c>
      <c r="J39">
        <f>1*Table52[[#This Row],[DT]]/Table52[[#This Row],[DX]]</f>
        <v>0.48</v>
      </c>
      <c r="L39" s="18"/>
      <c r="M39" s="1"/>
      <c r="N39" s="1">
        <v>5759</v>
      </c>
      <c r="O39">
        <v>95.118499799999995</v>
      </c>
      <c r="Q39" s="32">
        <f>2.5/Table52[[#This Row],[DT]]</f>
        <v>333.33333333333337</v>
      </c>
      <c r="R39" s="32"/>
      <c r="S39" s="32" t="e">
        <f>Table52[[#This Row],[IT]]/Table52[[#This Row],[plot]]</f>
        <v>#DIV/0!</v>
      </c>
      <c r="T39" s="32">
        <f>Table52[[#This Row],[clock_time]]/60</f>
        <v>1.5853083299999999</v>
      </c>
    </row>
    <row r="40" spans="1:20" s="3" customFormat="1" ht="17" thickBot="1" x14ac:dyDescent="0.25">
      <c r="A40" s="33">
        <v>39</v>
      </c>
      <c r="B40" s="33" t="s">
        <v>12</v>
      </c>
      <c r="C40" s="33">
        <v>1</v>
      </c>
      <c r="D40" s="33" t="s">
        <v>13</v>
      </c>
      <c r="E40" s="33">
        <v>1000</v>
      </c>
      <c r="F40" s="33">
        <v>64</v>
      </c>
      <c r="G40" s="34">
        <f>1/Table52[[#This Row],[N]]</f>
        <v>1.5625E-2</v>
      </c>
      <c r="H40" s="34">
        <f>Table52[[#This Row],[DX]]/1</f>
        <v>1.5625E-2</v>
      </c>
      <c r="I40" s="3">
        <v>1.4999999999999999E-2</v>
      </c>
      <c r="J40" s="3">
        <f>1*Table52[[#This Row],[DT]]/Table52[[#This Row],[DX]]</f>
        <v>0.96</v>
      </c>
      <c r="L40" s="22"/>
      <c r="M40" s="4"/>
      <c r="N40" s="4">
        <v>3102</v>
      </c>
      <c r="O40" s="3">
        <v>140.86225899999999</v>
      </c>
      <c r="Q40" s="34">
        <f>2.5/Table52[[#This Row],[DT]]</f>
        <v>166.66666666666669</v>
      </c>
      <c r="R40" s="34"/>
      <c r="S40" s="34" t="e">
        <f>Table52[[#This Row],[IT]]/Table52[[#This Row],[plot]]</f>
        <v>#DIV/0!</v>
      </c>
      <c r="T40" s="34">
        <f>Table52[[#This Row],[clock_time]]/60</f>
        <v>2.3477043166666665</v>
      </c>
    </row>
    <row r="41" spans="1:20" x14ac:dyDescent="0.2">
      <c r="A41" s="15">
        <v>40</v>
      </c>
      <c r="B41" s="15" t="s">
        <v>12</v>
      </c>
      <c r="C41" s="15">
        <v>1</v>
      </c>
      <c r="D41" s="15" t="s">
        <v>13</v>
      </c>
      <c r="E41" s="15">
        <v>1000</v>
      </c>
      <c r="F41" s="15">
        <v>64</v>
      </c>
      <c r="G41" s="32">
        <f>1/Table52[[#This Row],[N]]</f>
        <v>1.5625E-2</v>
      </c>
      <c r="H41" s="32">
        <f>Table52[[#This Row],[DX]]/1</f>
        <v>1.5625E-2</v>
      </c>
      <c r="I41">
        <f>Table52[[#This Row],[CFL]]*Table52[[#This Row],[DT_MAX]]</f>
        <v>1.5625E-4</v>
      </c>
      <c r="J41">
        <v>0.01</v>
      </c>
      <c r="L41" s="18"/>
      <c r="M41" s="1"/>
      <c r="N41" s="1">
        <v>136659</v>
      </c>
      <c r="O41">
        <v>175.09970100000001</v>
      </c>
      <c r="Q41" s="32">
        <f>2.5/Table52[[#This Row],[DT]]</f>
        <v>16000</v>
      </c>
      <c r="R41" s="32"/>
      <c r="S41" s="32" t="e">
        <f>Table52[[#This Row],[IT]]/Table52[[#This Row],[plot]]</f>
        <v>#DIV/0!</v>
      </c>
      <c r="T41" s="32">
        <f>Table52[[#This Row],[clock_time]]/60</f>
        <v>2.9183283500000003</v>
      </c>
    </row>
    <row r="42" spans="1:20" x14ac:dyDescent="0.2">
      <c r="A42" s="15">
        <v>41</v>
      </c>
      <c r="B42" s="15" t="s">
        <v>12</v>
      </c>
      <c r="C42" s="15">
        <v>1</v>
      </c>
      <c r="D42" s="15" t="s">
        <v>13</v>
      </c>
      <c r="E42" s="15">
        <v>1000</v>
      </c>
      <c r="F42" s="15">
        <v>64</v>
      </c>
      <c r="G42" s="32">
        <f>1/Table52[[#This Row],[N]]</f>
        <v>1.5625E-2</v>
      </c>
      <c r="H42" s="32">
        <f>Table52[[#This Row],[DX]]/1</f>
        <v>1.5625E-2</v>
      </c>
      <c r="I42">
        <f>Table52[[#This Row],[CFL]]*Table52[[#This Row],[DT_MAX]]</f>
        <v>7.8125000000000004E-4</v>
      </c>
      <c r="J42">
        <v>0.05</v>
      </c>
      <c r="L42" s="18"/>
      <c r="M42" s="1"/>
      <c r="N42" s="1">
        <v>37155</v>
      </c>
      <c r="O42">
        <v>58.603294400000003</v>
      </c>
      <c r="Q42" s="32">
        <f>2.5/Table52[[#This Row],[DT]]</f>
        <v>3200</v>
      </c>
      <c r="R42" s="32"/>
      <c r="S42" s="32" t="e">
        <f>Table52[[#This Row],[IT]]/Table52[[#This Row],[plot]]</f>
        <v>#DIV/0!</v>
      </c>
      <c r="T42" s="32">
        <f>Table52[[#This Row],[clock_time]]/60</f>
        <v>0.97672157333333343</v>
      </c>
    </row>
    <row r="43" spans="1:20" s="15" customFormat="1" x14ac:dyDescent="0.2">
      <c r="A43" s="15">
        <v>42</v>
      </c>
      <c r="B43" s="15" t="s">
        <v>12</v>
      </c>
      <c r="C43" s="15">
        <v>1</v>
      </c>
      <c r="D43" s="15" t="s">
        <v>13</v>
      </c>
      <c r="E43" s="15">
        <v>1000</v>
      </c>
      <c r="F43" s="15">
        <v>64</v>
      </c>
      <c r="G43" s="35">
        <f>1/Table52[[#This Row],[N]]</f>
        <v>1.5625E-2</v>
      </c>
      <c r="H43" s="35">
        <f>Table52[[#This Row],[DX]]/1</f>
        <v>1.5625E-2</v>
      </c>
      <c r="I43" s="15">
        <f>Table52[[#This Row],[CFL]]*Table52[[#This Row],[DT_MAX]]</f>
        <v>3.1250000000000002E-3</v>
      </c>
      <c r="J43" s="35">
        <v>0.2</v>
      </c>
      <c r="M43" s="16"/>
      <c r="N43" s="16">
        <v>11825</v>
      </c>
      <c r="O43" s="15">
        <v>60.159965499999998</v>
      </c>
      <c r="Q43" s="35">
        <f>2.5/Table52[[#This Row],[DT]]</f>
        <v>800</v>
      </c>
      <c r="R43" s="35"/>
      <c r="S43" s="35" t="e">
        <f>Table52[[#This Row],[IT]]/Table52[[#This Row],[plot]]</f>
        <v>#DIV/0!</v>
      </c>
      <c r="T43" s="35">
        <f>Table52[[#This Row],[clock_time]]/60</f>
        <v>1.0026660916666665</v>
      </c>
    </row>
    <row r="44" spans="1:20" s="15" customFormat="1" x14ac:dyDescent="0.2">
      <c r="A44" s="15">
        <v>43</v>
      </c>
      <c r="B44" s="15" t="s">
        <v>12</v>
      </c>
      <c r="C44" s="15">
        <v>1</v>
      </c>
      <c r="D44" s="15" t="s">
        <v>13</v>
      </c>
      <c r="E44" s="15">
        <v>1000</v>
      </c>
      <c r="F44" s="15">
        <v>64</v>
      </c>
      <c r="G44" s="35">
        <f>1/Table52[[#This Row],[N]]</f>
        <v>1.5625E-2</v>
      </c>
      <c r="H44" s="35">
        <f>Table52[[#This Row],[DX]]/1</f>
        <v>1.5625E-2</v>
      </c>
      <c r="I44" s="15">
        <f>Table52[[#This Row],[CFL]]*Table52[[#This Row],[DT_MAX]]</f>
        <v>6.2500000000000003E-3</v>
      </c>
      <c r="J44" s="35">
        <v>0.4</v>
      </c>
      <c r="M44" s="16"/>
      <c r="N44" s="16">
        <v>6706</v>
      </c>
      <c r="O44" s="15">
        <v>87.384323100000003</v>
      </c>
      <c r="Q44" s="35">
        <f>2.5/Table52[[#This Row],[DT]]</f>
        <v>400</v>
      </c>
      <c r="R44" s="35"/>
      <c r="S44" s="35" t="e">
        <f>Table52[[#This Row],[IT]]/Table52[[#This Row],[plot]]</f>
        <v>#DIV/0!</v>
      </c>
      <c r="T44" s="35">
        <f>Table52[[#This Row],[clock_time]]/60</f>
        <v>1.4564053850000001</v>
      </c>
    </row>
    <row r="45" spans="1:20" s="15" customFormat="1" x14ac:dyDescent="0.2">
      <c r="A45" s="15">
        <v>44</v>
      </c>
      <c r="B45" s="15" t="s">
        <v>12</v>
      </c>
      <c r="C45" s="15">
        <v>1</v>
      </c>
      <c r="D45" s="15" t="s">
        <v>13</v>
      </c>
      <c r="E45" s="15">
        <v>1000</v>
      </c>
      <c r="F45" s="15">
        <v>64</v>
      </c>
      <c r="G45" s="35">
        <f>1/Table52[[#This Row],[N]]</f>
        <v>1.5625E-2</v>
      </c>
      <c r="H45" s="35">
        <f>Table52[[#This Row],[DX]]/1</f>
        <v>1.5625E-2</v>
      </c>
      <c r="I45" s="15">
        <f>Table52[[#This Row],[CFL]]*Table52[[#This Row],[DT_MAX]]</f>
        <v>7.8125E-3</v>
      </c>
      <c r="J45" s="35">
        <v>0.5</v>
      </c>
      <c r="M45" s="16"/>
      <c r="N45" s="16">
        <v>5560</v>
      </c>
      <c r="O45" s="15">
        <v>97.289329499999994</v>
      </c>
      <c r="Q45" s="35">
        <f>2.5/Table52[[#This Row],[DT]]</f>
        <v>320</v>
      </c>
      <c r="R45" s="35"/>
      <c r="S45" s="35" t="e">
        <f>Table52[[#This Row],[IT]]/Table52[[#This Row],[plot]]</f>
        <v>#DIV/0!</v>
      </c>
      <c r="T45" s="35">
        <f>Table52[[#This Row],[clock_time]]/60</f>
        <v>1.6214888249999999</v>
      </c>
    </row>
    <row r="46" spans="1:20" s="15" customFormat="1" x14ac:dyDescent="0.2">
      <c r="A46" s="15">
        <v>45</v>
      </c>
      <c r="B46" s="15" t="s">
        <v>12</v>
      </c>
      <c r="C46" s="15">
        <v>1</v>
      </c>
      <c r="D46" s="15" t="s">
        <v>13</v>
      </c>
      <c r="E46" s="15">
        <v>1000</v>
      </c>
      <c r="F46" s="15">
        <v>64</v>
      </c>
      <c r="G46" s="35">
        <f>1/Table52[[#This Row],[N]]</f>
        <v>1.5625E-2</v>
      </c>
      <c r="H46" s="35">
        <f>Table52[[#This Row],[DX]]/1</f>
        <v>1.5625E-2</v>
      </c>
      <c r="I46" s="15">
        <f>Table52[[#This Row],[CFL]]*Table52[[#This Row],[DT_MAX]]</f>
        <v>9.3749999999999997E-3</v>
      </c>
      <c r="J46" s="35">
        <v>0.6</v>
      </c>
      <c r="M46" s="16"/>
      <c r="N46" s="16">
        <v>4791</v>
      </c>
      <c r="O46" s="15">
        <v>107.397453</v>
      </c>
      <c r="Q46" s="35">
        <f>2.5/Table52[[#This Row],[DT]]</f>
        <v>266.66666666666669</v>
      </c>
      <c r="R46" s="35"/>
      <c r="S46" s="35" t="e">
        <f>Table52[[#This Row],[IT]]/Table52[[#This Row],[plot]]</f>
        <v>#DIV/0!</v>
      </c>
      <c r="T46" s="35">
        <f>Table52[[#This Row],[clock_time]]/60</f>
        <v>1.78995755</v>
      </c>
    </row>
    <row r="47" spans="1:20" x14ac:dyDescent="0.2">
      <c r="A47" s="15">
        <v>46</v>
      </c>
      <c r="B47" s="15" t="s">
        <v>12</v>
      </c>
      <c r="C47" s="15">
        <v>1</v>
      </c>
      <c r="D47" s="15" t="s">
        <v>13</v>
      </c>
      <c r="E47" s="15">
        <v>1000</v>
      </c>
      <c r="F47" s="15">
        <v>64</v>
      </c>
      <c r="G47" s="32">
        <f>1/Table52[[#This Row],[N]]</f>
        <v>1.5625E-2</v>
      </c>
      <c r="H47" s="32">
        <f>Table52[[#This Row],[DX]]/1</f>
        <v>1.5625E-2</v>
      </c>
      <c r="I47">
        <f>Table52[[#This Row],[CFL]]*Table52[[#This Row],[DT_MAX]]</f>
        <v>1.2500000000000001E-2</v>
      </c>
      <c r="J47" s="32">
        <v>0.8</v>
      </c>
      <c r="L47" s="18"/>
      <c r="M47" s="1"/>
      <c r="N47" s="1">
        <v>3717</v>
      </c>
      <c r="O47">
        <v>127.491776</v>
      </c>
      <c r="Q47" s="32">
        <f>2.5/Table52[[#This Row],[DT]]</f>
        <v>200</v>
      </c>
      <c r="R47" s="32"/>
      <c r="S47" s="32" t="e">
        <f>Table52[[#This Row],[IT]]/Table52[[#This Row],[plot]]</f>
        <v>#DIV/0!</v>
      </c>
      <c r="T47" s="32">
        <f>Table52[[#This Row],[clock_time]]/60</f>
        <v>2.1248629333333335</v>
      </c>
    </row>
    <row r="48" spans="1:20" x14ac:dyDescent="0.2">
      <c r="A48" s="15">
        <v>47</v>
      </c>
      <c r="B48" s="15" t="s">
        <v>12</v>
      </c>
      <c r="C48" s="15">
        <v>1</v>
      </c>
      <c r="D48" s="15" t="s">
        <v>13</v>
      </c>
      <c r="E48" s="15">
        <v>1000</v>
      </c>
      <c r="F48" s="15">
        <v>64</v>
      </c>
      <c r="G48" s="32">
        <f>1/Table52[[#This Row],[N]]</f>
        <v>1.5625E-2</v>
      </c>
      <c r="H48" s="32">
        <f>Table52[[#This Row],[DX]]/1</f>
        <v>1.5625E-2</v>
      </c>
      <c r="I48">
        <f>Table52[[#This Row],[CFL]]*Table52[[#This Row],[DT_MAX]]</f>
        <v>1.5625E-2</v>
      </c>
      <c r="J48" s="32">
        <v>1</v>
      </c>
      <c r="L48" s="18"/>
      <c r="M48" s="1"/>
      <c r="N48" s="1"/>
      <c r="Q48" s="32">
        <f>2.5/Table52[[#This Row],[DT]]</f>
        <v>160</v>
      </c>
      <c r="R48" s="32"/>
      <c r="S48" s="32" t="e">
        <f>Table52[[#This Row],[IT]]/Table52[[#This Row],[plot]]</f>
        <v>#DIV/0!</v>
      </c>
      <c r="T48" s="32">
        <f>Table52[[#This Row],[clock_time]]/60</f>
        <v>0</v>
      </c>
    </row>
  </sheetData>
  <phoneticPr fontId="2" type="noConversion"/>
  <pageMargins left="0.7" right="0.7" top="0.75" bottom="0.75" header="0.3" footer="0.3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2026-04-01T05:14:03Z</dcterms:modified>
</cp:coreProperties>
</file>